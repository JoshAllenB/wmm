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eception\Desktop\"/>
    </mc:Choice>
  </mc:AlternateContent>
  <xr:revisionPtr revIDLastSave="0" documentId="13_ncr:1_{5BDD36FF-13C0-41BB-8AF6-07C829FBD4FF}" xr6:coauthVersionLast="47" xr6:coauthVersionMax="47" xr10:uidLastSave="{00000000-0000-0000-0000-000000000000}"/>
  <bookViews>
    <workbookView xWindow="1770" yWindow="1770" windowWidth="18000" windowHeight="9270" xr2:uid="{D47E39C8-D566-4CF9-A389-54D3C104A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3" i="1"/>
  <c r="G12" i="1"/>
  <c r="G11" i="1"/>
  <c r="G10" i="1"/>
  <c r="G9" i="1"/>
  <c r="G8" i="1"/>
  <c r="G7" i="1"/>
  <c r="G6" i="1"/>
  <c r="B15" i="1"/>
  <c r="G21" i="1"/>
  <c r="G19" i="1"/>
  <c r="E15" i="1"/>
  <c r="D15" i="1"/>
  <c r="C15" i="1"/>
</calcChain>
</file>

<file path=xl/sharedStrings.xml><?xml version="1.0" encoding="utf-8"?>
<sst xmlns="http://schemas.openxmlformats.org/spreadsheetml/2006/main" count="23" uniqueCount="20">
  <si>
    <t>FOM DONATIONS YEAR 2025</t>
  </si>
  <si>
    <t>DONATION</t>
  </si>
  <si>
    <t>RECEIVED</t>
  </si>
  <si>
    <t>2ND QUARTER</t>
  </si>
  <si>
    <t>3RD QUARTER</t>
  </si>
  <si>
    <t>4TH QUARTER</t>
  </si>
  <si>
    <t>NET INCOME</t>
  </si>
  <si>
    <t>MAILING COST</t>
  </si>
  <si>
    <t>REPORT AS OF (23 Sept. 2025)</t>
  </si>
  <si>
    <t>CPS SEND</t>
  </si>
  <si>
    <t>QTY</t>
  </si>
  <si>
    <t>1ST</t>
  </si>
  <si>
    <t>QUARTER</t>
  </si>
  <si>
    <t>2ND</t>
  </si>
  <si>
    <t>3RD</t>
  </si>
  <si>
    <t>4TH</t>
  </si>
  <si>
    <t>TOTAL COST</t>
  </si>
  <si>
    <t xml:space="preserve">TOTAL NO. </t>
  </si>
  <si>
    <t>YEAR TOTAL</t>
  </si>
  <si>
    <t>1st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</si>
</sst>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3" xfId="0" applyFont="1" applyBorder="1" applyAlignment="1">
      <alignment horizontal="center"/>
    </xf>
    <xf numFmtId="43" fontId="2" fillId="0" borderId="0" xfId="1" applyFont="1"/>
    <xf numFmtId="164" fontId="2" fillId="0" borderId="0" xfId="1" applyNumberFormat="1" applyFont="1"/>
    <xf numFmtId="3" fontId="2" fillId="0" borderId="0" xfId="0" applyNumberFormat="1" applyFont="1"/>
    <xf numFmtId="4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43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E5B7-2492-4172-BC99-D811EFB0E8A9}">
  <dimension ref="A1:H25"/>
  <sheetViews>
    <sheetView tabSelected="1" topLeftCell="A22" zoomScaleNormal="100" workbookViewId="0">
      <selection activeCell="G6" sqref="G6:H6"/>
    </sheetView>
  </sheetViews>
  <sheetFormatPr defaultRowHeight="15.75" x14ac:dyDescent="0.25"/>
  <cols>
    <col min="1" max="1" width="13.85546875" style="2" customWidth="1"/>
    <col min="2" max="2" width="9.28515625" style="2" customWidth="1"/>
    <col min="3" max="3" width="13" style="2" customWidth="1"/>
    <col min="4" max="4" width="13.140625" style="2" customWidth="1"/>
    <col min="5" max="5" width="13.5703125" style="2" customWidth="1"/>
    <col min="6" max="6" width="9.85546875" style="2" customWidth="1"/>
    <col min="7" max="16384" width="9.140625" style="2"/>
  </cols>
  <sheetData>
    <row r="1" spans="1:8" ht="24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23.25" customHeight="1" x14ac:dyDescent="0.25">
      <c r="A2" s="1" t="s">
        <v>8</v>
      </c>
      <c r="B2" s="1"/>
      <c r="C2" s="1"/>
      <c r="D2" s="1"/>
      <c r="E2" s="1"/>
      <c r="F2" s="1"/>
      <c r="G2" s="1"/>
      <c r="H2" s="1"/>
    </row>
    <row r="4" spans="1:8" ht="24.75" customHeight="1" x14ac:dyDescent="0.25">
      <c r="A4" s="3" t="s">
        <v>1</v>
      </c>
      <c r="B4" s="3" t="s">
        <v>10</v>
      </c>
      <c r="C4" s="3" t="s">
        <v>11</v>
      </c>
      <c r="D4" s="3" t="s">
        <v>13</v>
      </c>
      <c r="E4" s="3" t="s">
        <v>14</v>
      </c>
      <c r="F4" s="3" t="s">
        <v>15</v>
      </c>
      <c r="G4" s="8" t="s">
        <v>18</v>
      </c>
      <c r="H4" s="8"/>
    </row>
    <row r="5" spans="1:8" ht="23.25" customHeight="1" x14ac:dyDescent="0.25">
      <c r="A5" s="4" t="s">
        <v>2</v>
      </c>
      <c r="B5" s="5"/>
      <c r="C5" s="4" t="s">
        <v>12</v>
      </c>
      <c r="D5" s="4" t="s">
        <v>12</v>
      </c>
      <c r="E5" s="4" t="s">
        <v>12</v>
      </c>
      <c r="F5" s="4" t="s">
        <v>12</v>
      </c>
      <c r="G5" s="8"/>
      <c r="H5" s="8"/>
    </row>
    <row r="6" spans="1:8" ht="34.5" customHeight="1" x14ac:dyDescent="0.25">
      <c r="A6" s="6">
        <v>100</v>
      </c>
      <c r="B6" s="6">
        <v>5</v>
      </c>
      <c r="C6" s="7">
        <v>602</v>
      </c>
      <c r="D6" s="7">
        <v>302</v>
      </c>
      <c r="E6" s="7">
        <v>302</v>
      </c>
      <c r="F6" s="6"/>
      <c r="G6" s="14">
        <f>C6+D6+E6+F6</f>
        <v>1206</v>
      </c>
      <c r="H6" s="8"/>
    </row>
    <row r="7" spans="1:8" ht="34.5" customHeight="1" x14ac:dyDescent="0.25">
      <c r="A7" s="6">
        <v>500</v>
      </c>
      <c r="B7" s="6">
        <v>4</v>
      </c>
      <c r="C7" s="7">
        <v>1000</v>
      </c>
      <c r="D7" s="7">
        <v>500</v>
      </c>
      <c r="E7" s="7">
        <v>500</v>
      </c>
      <c r="F7" s="6"/>
      <c r="G7" s="14">
        <f t="shared" ref="G7:G13" si="0">C7+D7+E7+F7</f>
        <v>2000</v>
      </c>
      <c r="H7" s="8"/>
    </row>
    <row r="8" spans="1:8" ht="30" customHeight="1" x14ac:dyDescent="0.25">
      <c r="A8" s="6">
        <v>1000</v>
      </c>
      <c r="B8" s="6">
        <v>12</v>
      </c>
      <c r="C8" s="7">
        <v>3000</v>
      </c>
      <c r="D8" s="7">
        <v>6000</v>
      </c>
      <c r="E8" s="7">
        <v>3500</v>
      </c>
      <c r="F8" s="6"/>
      <c r="G8" s="14">
        <f t="shared" si="0"/>
        <v>12500</v>
      </c>
      <c r="H8" s="8"/>
    </row>
    <row r="9" spans="1:8" ht="36.75" customHeight="1" x14ac:dyDescent="0.25">
      <c r="A9" s="6">
        <v>2000</v>
      </c>
      <c r="B9" s="6">
        <v>5</v>
      </c>
      <c r="C9" s="7">
        <v>2000</v>
      </c>
      <c r="D9" s="7">
        <v>4000</v>
      </c>
      <c r="E9" s="7">
        <v>4000</v>
      </c>
      <c r="F9" s="6"/>
      <c r="G9" s="14">
        <f t="shared" si="0"/>
        <v>10000</v>
      </c>
      <c r="H9" s="8"/>
    </row>
    <row r="10" spans="1:8" ht="36.75" customHeight="1" x14ac:dyDescent="0.25">
      <c r="A10" s="6">
        <v>3000</v>
      </c>
      <c r="B10" s="6">
        <v>3</v>
      </c>
      <c r="C10" s="6"/>
      <c r="D10" s="7">
        <v>7500</v>
      </c>
      <c r="E10" s="7">
        <v>3000</v>
      </c>
      <c r="F10" s="6"/>
      <c r="G10" s="14">
        <f t="shared" si="0"/>
        <v>10500</v>
      </c>
      <c r="H10" s="8"/>
    </row>
    <row r="11" spans="1:8" ht="36.75" customHeight="1" x14ac:dyDescent="0.25">
      <c r="A11" s="6">
        <v>5000</v>
      </c>
      <c r="B11" s="6">
        <v>3</v>
      </c>
      <c r="C11" s="6"/>
      <c r="D11" s="6"/>
      <c r="E11" s="7">
        <v>15000</v>
      </c>
      <c r="F11" s="6"/>
      <c r="G11" s="14">
        <f t="shared" si="0"/>
        <v>15000</v>
      </c>
      <c r="H11" s="8"/>
    </row>
    <row r="12" spans="1:8" ht="36.75" customHeight="1" x14ac:dyDescent="0.25">
      <c r="A12" s="6">
        <v>7000</v>
      </c>
      <c r="B12" s="6"/>
      <c r="C12" s="6"/>
      <c r="D12" s="7"/>
      <c r="E12" s="7"/>
      <c r="F12" s="6"/>
      <c r="G12" s="14">
        <f t="shared" si="0"/>
        <v>0</v>
      </c>
      <c r="H12" s="8"/>
    </row>
    <row r="13" spans="1:8" ht="34.5" customHeight="1" x14ac:dyDescent="0.25">
      <c r="A13" s="6">
        <v>10000</v>
      </c>
      <c r="B13" s="6"/>
      <c r="C13" s="6"/>
      <c r="D13" s="6"/>
      <c r="E13" s="7"/>
      <c r="F13" s="6"/>
      <c r="G13" s="14">
        <f t="shared" si="0"/>
        <v>0</v>
      </c>
      <c r="H13" s="8"/>
    </row>
    <row r="14" spans="1:8" x14ac:dyDescent="0.25">
      <c r="A14" s="11"/>
    </row>
    <row r="15" spans="1:8" ht="21.75" customHeight="1" x14ac:dyDescent="0.25">
      <c r="A15" s="15"/>
      <c r="B15" s="18">
        <f>B6+B7+B8+B9+B10+B11+B12+B13</f>
        <v>32</v>
      </c>
      <c r="C15" s="14">
        <f>C6+C7+C8+C9</f>
        <v>6602</v>
      </c>
      <c r="D15" s="14">
        <f>D6+D7+D8+D9+D10</f>
        <v>18302</v>
      </c>
      <c r="E15" s="14">
        <f>E6+E7+E8+E9+E10+E13</f>
        <v>11302</v>
      </c>
      <c r="F15" s="8"/>
      <c r="G15" s="14">
        <f>C15+D15+E15+F15</f>
        <v>36206</v>
      </c>
      <c r="H15" s="8"/>
    </row>
    <row r="16" spans="1:8" x14ac:dyDescent="0.25">
      <c r="A16" s="16"/>
      <c r="B16" s="17"/>
      <c r="C16" s="14"/>
      <c r="D16" s="14"/>
      <c r="E16" s="14"/>
      <c r="F16" s="8"/>
      <c r="G16" s="8"/>
      <c r="H16" s="8"/>
    </row>
    <row r="18" spans="1:8" ht="33" customHeight="1" x14ac:dyDescent="0.25">
      <c r="C18" s="2" t="s">
        <v>19</v>
      </c>
      <c r="D18" s="2" t="s">
        <v>3</v>
      </c>
      <c r="E18" s="2" t="s">
        <v>4</v>
      </c>
      <c r="F18" s="2" t="s">
        <v>5</v>
      </c>
      <c r="G18" s="1" t="s">
        <v>16</v>
      </c>
      <c r="H18" s="1"/>
    </row>
    <row r="19" spans="1:8" ht="32.25" customHeight="1" x14ac:dyDescent="0.25">
      <c r="A19" s="1" t="s">
        <v>7</v>
      </c>
      <c r="B19" s="1"/>
      <c r="C19" s="9">
        <v>180347</v>
      </c>
      <c r="D19" s="9">
        <v>179400</v>
      </c>
      <c r="E19" s="9">
        <v>178722</v>
      </c>
      <c r="G19" s="12">
        <f>C19+D19+E19+F19</f>
        <v>538469</v>
      </c>
      <c r="H19" s="1"/>
    </row>
    <row r="20" spans="1:8" ht="19.5" customHeight="1" x14ac:dyDescent="0.25">
      <c r="C20" s="9"/>
      <c r="D20" s="9"/>
      <c r="E20" s="9"/>
      <c r="G20" s="1" t="s">
        <v>17</v>
      </c>
      <c r="H20" s="1"/>
    </row>
    <row r="21" spans="1:8" ht="24.75" customHeight="1" x14ac:dyDescent="0.25">
      <c r="A21" s="1" t="s">
        <v>9</v>
      </c>
      <c r="B21" s="1"/>
      <c r="C21" s="10">
        <v>10307</v>
      </c>
      <c r="D21" s="11">
        <v>10227</v>
      </c>
      <c r="E21" s="10">
        <v>10170</v>
      </c>
      <c r="G21" s="13">
        <f>C21+D21+E21+F21</f>
        <v>30704</v>
      </c>
      <c r="H21" s="13"/>
    </row>
    <row r="25" spans="1:8" ht="27.75" customHeight="1" x14ac:dyDescent="0.25">
      <c r="A25" s="1" t="s">
        <v>6</v>
      </c>
      <c r="B25" s="1"/>
    </row>
  </sheetData>
  <mergeCells count="24">
    <mergeCell ref="A25:B25"/>
    <mergeCell ref="A1:H1"/>
    <mergeCell ref="A2:H2"/>
    <mergeCell ref="G11:H11"/>
    <mergeCell ref="G12:H12"/>
    <mergeCell ref="C15:C16"/>
    <mergeCell ref="D15:D16"/>
    <mergeCell ref="E15:E16"/>
    <mergeCell ref="F15:F16"/>
    <mergeCell ref="G15:H16"/>
    <mergeCell ref="B15:B16"/>
    <mergeCell ref="G18:H18"/>
    <mergeCell ref="G20:H20"/>
    <mergeCell ref="G19:H19"/>
    <mergeCell ref="G21:H21"/>
    <mergeCell ref="A19:B19"/>
    <mergeCell ref="A21:B21"/>
    <mergeCell ref="G4:H5"/>
    <mergeCell ref="G6:H6"/>
    <mergeCell ref="G7:H7"/>
    <mergeCell ref="G8:H8"/>
    <mergeCell ref="G9:H9"/>
    <mergeCell ref="G10:H10"/>
    <mergeCell ref="G13:H13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Reception</cp:lastModifiedBy>
  <cp:lastPrinted>2025-09-24T00:48:40Z</cp:lastPrinted>
  <dcterms:created xsi:type="dcterms:W3CDTF">2025-09-19T08:50:51Z</dcterms:created>
  <dcterms:modified xsi:type="dcterms:W3CDTF">2025-09-24T01:19:05Z</dcterms:modified>
</cp:coreProperties>
</file>
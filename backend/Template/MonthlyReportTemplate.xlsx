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4240" windowHeight="13020"/>
  </bookViews>
  <sheets>
    <sheet name="SEPT2025-SAMPLE PRINTOUT" sheetId="1" r:id="rId1"/>
  </sheets>
  <definedNames>
    <definedName name="_xlnm.Print_Area" localSheetId="0">'SEPT2025-SAMPLE PRINTOUT'!$A$1:$G$61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/>
  <c r="G49" l="1"/>
  <c r="F49"/>
  <c r="E49"/>
  <c r="G48"/>
  <c r="G47"/>
  <c r="G46"/>
  <c r="G45"/>
  <c r="F42"/>
  <c r="E42"/>
  <c r="G41"/>
  <c r="G40"/>
  <c r="G39"/>
  <c r="G42" s="1"/>
  <c r="F36"/>
  <c r="F52" s="1"/>
  <c r="G34"/>
  <c r="F34"/>
  <c r="E34"/>
  <c r="E36" s="1"/>
  <c r="E52" s="1"/>
  <c r="G33"/>
  <c r="G32"/>
  <c r="G31"/>
  <c r="G30"/>
  <c r="F23"/>
  <c r="E23"/>
  <c r="G21"/>
  <c r="G20"/>
  <c r="G19"/>
  <c r="G18"/>
  <c r="G17"/>
  <c r="G23" s="1"/>
  <c r="G36" s="1"/>
  <c r="G54" l="1"/>
  <c r="G52"/>
</calcChain>
</file>

<file path=xl/sharedStrings.xml><?xml version="1.0" encoding="utf-8"?>
<sst xmlns="http://schemas.openxmlformats.org/spreadsheetml/2006/main" count="50" uniqueCount="50">
  <si>
    <t>WORLD MISSION PUBLICATIONS</t>
  </si>
  <si>
    <t>#7885 Segundo Mendoza Street, Villa Mendoza Subd., Sucat, Parañaque City</t>
  </si>
  <si>
    <t>Tel. Nos.: 8829-0740 / 8829-7481</t>
  </si>
  <si>
    <t>MONTHLY DISTRIBUTION REPORT</t>
  </si>
  <si>
    <t>For the issue of SEPTEMBER 2025</t>
  </si>
  <si>
    <t>TOTAL</t>
  </si>
  <si>
    <t>NUMBER OF COPIES PRINTED:</t>
  </si>
  <si>
    <t>Local</t>
  </si>
  <si>
    <t>Abroad</t>
  </si>
  <si>
    <t>PAID SUBSCRIBERS</t>
  </si>
  <si>
    <t>Priest and Religious</t>
  </si>
  <si>
    <t>Paid w/ Mass = 224</t>
  </si>
  <si>
    <t>Lay Persons</t>
  </si>
  <si>
    <t>Schools/Libraries</t>
  </si>
  <si>
    <t>Campus Ministries</t>
  </si>
  <si>
    <t>Paid by Others (GIFT Subscription)</t>
  </si>
  <si>
    <t xml:space="preserve">Unencoded MP: </t>
  </si>
  <si>
    <t>August (256), Sept (161)</t>
  </si>
  <si>
    <t>Total Paid Subscribers</t>
  </si>
  <si>
    <t>NEW SUBSCRIBERS for the month</t>
  </si>
  <si>
    <t>RENEWALS during the month of  SEPT 2025</t>
  </si>
  <si>
    <t>DUE FOR RENEWAL for the mo. of SEPT 2025</t>
  </si>
  <si>
    <t xml:space="preserve">Renewed = </t>
  </si>
  <si>
    <t>SALES</t>
  </si>
  <si>
    <t xml:space="preserve">CMC </t>
  </si>
  <si>
    <t>DCS (MP)</t>
  </si>
  <si>
    <t>DELEGATE</t>
  </si>
  <si>
    <t>SPECIAL ORDER</t>
  </si>
  <si>
    <t>Total Sales</t>
  </si>
  <si>
    <t>TOTAL NUMBER OF COPIES SOLD</t>
  </si>
  <si>
    <t>CONSIGNMENTS</t>
  </si>
  <si>
    <t>Schools</t>
  </si>
  <si>
    <t>Bookstores</t>
  </si>
  <si>
    <t>Religious Communities</t>
  </si>
  <si>
    <t>Total Consignments</t>
  </si>
  <si>
    <t>COMPLIMENTARY</t>
  </si>
  <si>
    <t>Parishes</t>
  </si>
  <si>
    <t>Various/Bishop/Religious/Campus M/Library/School</t>
  </si>
  <si>
    <t>Exchange</t>
  </si>
  <si>
    <t>Gifts (MP/Editor/Administrator)</t>
  </si>
  <si>
    <t>Total Complimentary</t>
  </si>
  <si>
    <t>IN STOCK (Archives/Bound copies)</t>
  </si>
  <si>
    <t>TOTAL NUMBER OF COPIES RELEASED</t>
  </si>
  <si>
    <t>TOTAL NUMBER OF COPIES AVAILABLE:</t>
  </si>
  <si>
    <t>Prepared by:</t>
  </si>
  <si>
    <t>Date:</t>
  </si>
  <si>
    <t>Oct 10, 2025</t>
  </si>
  <si>
    <t>Angel de Vera</t>
  </si>
  <si>
    <t xml:space="preserve">  </t>
  </si>
  <si>
    <t>Circulation Officer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</si>
</sst>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Century Schoolbook"/>
      <family val="1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name val="Arial Narrow"/>
      <family val="2"/>
    </font>
    <font>
      <sz val="7.5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b/>
      <u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right"/>
    </xf>
    <xf numFmtId="37" fontId="7" fillId="0" borderId="0" xfId="1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6" fillId="0" borderId="8" xfId="0" applyFont="1" applyBorder="1"/>
    <xf numFmtId="0" fontId="2" fillId="0" borderId="9" xfId="0" applyFont="1" applyBorder="1"/>
    <xf numFmtId="0" fontId="1" fillId="0" borderId="9" xfId="0" applyFont="1" applyBorder="1"/>
    <xf numFmtId="0" fontId="1" fillId="0" borderId="10" xfId="0" applyFont="1" applyBorder="1"/>
    <xf numFmtId="16" fontId="1" fillId="0" borderId="0" xfId="0" applyNumberFormat="1" applyFont="1"/>
    <xf numFmtId="0" fontId="1" fillId="0" borderId="11" xfId="0" applyFont="1" applyBorder="1"/>
    <xf numFmtId="0" fontId="1" fillId="0" borderId="12" xfId="0" applyFont="1" applyBorder="1"/>
    <xf numFmtId="0" fontId="8" fillId="0" borderId="12" xfId="0" applyFont="1" applyBorder="1"/>
    <xf numFmtId="37" fontId="9" fillId="0" borderId="12" xfId="1" applyNumberFormat="1" applyFont="1" applyBorder="1"/>
    <xf numFmtId="37" fontId="1" fillId="0" borderId="0" xfId="1" applyNumberFormat="1" applyFont="1" applyBorder="1"/>
    <xf numFmtId="37" fontId="1" fillId="0" borderId="13" xfId="1" applyNumberFormat="1" applyFont="1" applyBorder="1"/>
    <xf numFmtId="0" fontId="1" fillId="0" borderId="14" xfId="0" applyFont="1" applyBorder="1"/>
    <xf numFmtId="0" fontId="1" fillId="0" borderId="15" xfId="0" applyFont="1" applyBorder="1"/>
    <xf numFmtId="37" fontId="1" fillId="0" borderId="12" xfId="1" quotePrefix="1" applyNumberFormat="1" applyFont="1" applyBorder="1"/>
    <xf numFmtId="37" fontId="1" fillId="0" borderId="15" xfId="1" quotePrefix="1" applyNumberFormat="1" applyFont="1" applyBorder="1"/>
    <xf numFmtId="37" fontId="1" fillId="0" borderId="13" xfId="1" applyNumberFormat="1" applyFont="1" applyFill="1" applyBorder="1"/>
    <xf numFmtId="37" fontId="1" fillId="0" borderId="7" xfId="1" applyNumberFormat="1" applyFont="1" applyBorder="1"/>
    <xf numFmtId="37" fontId="1" fillId="0" borderId="16" xfId="1" applyNumberFormat="1" applyFont="1" applyFill="1" applyBorder="1"/>
    <xf numFmtId="0" fontId="2" fillId="0" borderId="17" xfId="0" applyFont="1" applyBorder="1"/>
    <xf numFmtId="0" fontId="2" fillId="0" borderId="7" xfId="0" applyFont="1" applyBorder="1"/>
    <xf numFmtId="37" fontId="2" fillId="0" borderId="7" xfId="1" quotePrefix="1" applyNumberFormat="1" applyFont="1" applyBorder="1"/>
    <xf numFmtId="37" fontId="2" fillId="0" borderId="7" xfId="1" applyNumberFormat="1" applyFont="1" applyBorder="1"/>
    <xf numFmtId="37" fontId="2" fillId="0" borderId="16" xfId="1" applyNumberFormat="1" applyFont="1" applyBorder="1"/>
    <xf numFmtId="37" fontId="2" fillId="0" borderId="17" xfId="1" applyNumberFormat="1" applyFont="1" applyBorder="1"/>
    <xf numFmtId="37" fontId="2" fillId="0" borderId="0" xfId="0" applyNumberFormat="1" applyFont="1"/>
    <xf numFmtId="0" fontId="2" fillId="0" borderId="0" xfId="0" applyFont="1"/>
    <xf numFmtId="37" fontId="2" fillId="0" borderId="0" xfId="1" quotePrefix="1" applyNumberFormat="1" applyFont="1" applyBorder="1"/>
    <xf numFmtId="37" fontId="2" fillId="0" borderId="0" xfId="1" applyNumberFormat="1" applyFont="1" applyBorder="1"/>
    <xf numFmtId="0" fontId="2" fillId="0" borderId="0" xfId="0" applyFont="1" applyAlignment="1">
      <alignment vertical="center"/>
    </xf>
    <xf numFmtId="37" fontId="1" fillId="0" borderId="0" xfId="1" quotePrefix="1" applyNumberFormat="1" applyFont="1" applyBorder="1"/>
    <xf numFmtId="37" fontId="1" fillId="0" borderId="0" xfId="1" applyNumberFormat="1" applyFont="1" applyFill="1" applyBorder="1"/>
    <xf numFmtId="37" fontId="1" fillId="0" borderId="0" xfId="1" applyNumberFormat="1" applyFont="1" applyFill="1"/>
    <xf numFmtId="37" fontId="1" fillId="0" borderId="0" xfId="1" applyNumberFormat="1" applyFont="1"/>
    <xf numFmtId="0" fontId="8" fillId="0" borderId="0" xfId="0" applyFont="1"/>
    <xf numFmtId="37" fontId="1" fillId="0" borderId="0" xfId="0" applyNumberFormat="1" applyFont="1"/>
    <xf numFmtId="37" fontId="1" fillId="0" borderId="0" xfId="1" quotePrefix="1" applyNumberFormat="1" applyFont="1"/>
    <xf numFmtId="37" fontId="1" fillId="0" borderId="9" xfId="1" applyNumberFormat="1" applyFont="1" applyBorder="1"/>
    <xf numFmtId="37" fontId="1" fillId="0" borderId="10" xfId="1" applyNumberFormat="1" applyFont="1" applyBorder="1"/>
    <xf numFmtId="0" fontId="2" fillId="0" borderId="12" xfId="0" applyFont="1" applyBorder="1"/>
    <xf numFmtId="0" fontId="2" fillId="0" borderId="15" xfId="0" applyFont="1" applyBorder="1"/>
    <xf numFmtId="37" fontId="1" fillId="0" borderId="7" xfId="1" applyNumberFormat="1" applyFont="1" applyFill="1" applyBorder="1"/>
    <xf numFmtId="37" fontId="1" fillId="0" borderId="16" xfId="1" applyNumberFormat="1" applyFont="1" applyBorder="1"/>
    <xf numFmtId="37" fontId="1" fillId="0" borderId="7" xfId="1" quotePrefix="1" applyNumberFormat="1" applyFont="1" applyBorder="1"/>
    <xf numFmtId="37" fontId="1" fillId="0" borderId="9" xfId="1" quotePrefix="1" applyNumberFormat="1" applyFont="1" applyBorder="1"/>
    <xf numFmtId="37" fontId="2" fillId="0" borderId="18" xfId="1" applyNumberFormat="1" applyFont="1" applyBorder="1"/>
    <xf numFmtId="37" fontId="2" fillId="0" borderId="0" xfId="1" applyNumberFormat="1" applyFont="1"/>
    <xf numFmtId="37" fontId="2" fillId="0" borderId="0" xfId="1" applyNumberFormat="1" applyFont="1" applyAlignment="1">
      <alignment horizontal="right"/>
    </xf>
    <xf numFmtId="37" fontId="2" fillId="0" borderId="7" xfId="1" applyNumberFormat="1" applyFont="1" applyBorder="1" applyAlignment="1">
      <alignment horizontal="right"/>
    </xf>
    <xf numFmtId="0" fontId="1" fillId="0" borderId="7" xfId="0" applyFont="1" applyBorder="1"/>
    <xf numFmtId="37" fontId="1" fillId="0" borderId="7" xfId="1" quotePrefix="1" applyNumberFormat="1" applyFont="1" applyBorder="1" applyAlignment="1">
      <alignment horizontal="left"/>
    </xf>
    <xf numFmtId="37" fontId="1" fillId="0" borderId="0" xfId="1" quotePrefix="1" applyNumberFormat="1" applyFont="1" applyBorder="1" applyAlignment="1">
      <alignment horizontal="left"/>
    </xf>
    <xf numFmtId="37" fontId="2" fillId="0" borderId="0" xfId="1" applyNumberFormat="1" applyFont="1" applyBorder="1" applyAlignment="1">
      <alignment horizontal="right"/>
    </xf>
    <xf numFmtId="14" fontId="1" fillId="0" borderId="0" xfId="0" applyNumberFormat="1" applyFont="1"/>
    <xf numFmtId="43" fontId="1" fillId="0" borderId="0" xfId="1" applyFont="1" applyAlignment="1">
      <alignment horizontal="right"/>
    </xf>
    <xf numFmtId="15" fontId="1" fillId="0" borderId="0" xfId="0" quotePrefix="1" applyNumberFormat="1" applyFont="1"/>
    <xf numFmtId="0" fontId="1" fillId="0" borderId="0" xfId="0" applyFont="1" applyAlignment="1">
      <alignment horizontal="left"/>
    </xf>
    <xf numFmtId="17" fontId="1" fillId="0" borderId="0" xfId="0" quotePrefix="1" applyNumberFormat="1" applyFont="1"/>
    <xf numFmtId="37" fontId="10" fillId="0" borderId="7" xfId="1" applyNumberFormat="1" applyFont="1" applyFill="1" applyBorder="1" applyAlignment="1">
      <alignment horizontal="right"/>
    </xf>
    <xf numFmtId="37" fontId="11" fillId="0" borderId="0" xfId="1" quotePrefix="1" applyNumberFormat="1" applyFont="1" applyFill="1" applyBorder="1" applyAlignment="1">
      <alignment horizontal="left"/>
    </xf>
    <xf numFmtId="37" fontId="11" fillId="0" borderId="0" xfId="1" applyNumberFormat="1" applyFont="1" applyFill="1" applyAlignment="1">
      <alignment horizontal="left"/>
    </xf>
    <xf numFmtId="0" fontId="13" fillId="0" borderId="8" xfId="0" applyFont="1" applyBorder="1"/>
    <xf numFmtId="0" fontId="11" fillId="0" borderId="14" xfId="0" applyFont="1" applyBorder="1"/>
    <xf numFmtId="0" fontId="12" fillId="0" borderId="15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2"/>
  <sheetViews>
    <sheetView tabSelected="1" topLeftCell="B8" zoomScale="135" zoomScaleNormal="135" zoomScaleSheetLayoutView="115" workbookViewId="0">
      <selection activeCell="G22" sqref="G22"/>
    </sheetView>
  </sheetViews>
  <sheetFormatPr defaultRowHeight="12.75"/>
  <cols>
    <col min="1" max="1" width="18.140625" style="1" customWidth="1"/>
    <col min="2" max="2" width="28.7109375" style="1" customWidth="1"/>
    <col min="3" max="3" width="6.85546875" style="1" hidden="1" customWidth="1"/>
    <col min="4" max="4" width="13.85546875" style="1" bestFit="1" customWidth="1"/>
    <col min="5" max="5" width="16.28515625" style="1" bestFit="1" customWidth="1"/>
    <col min="6" max="6" width="9.42578125" style="1" customWidth="1"/>
    <col min="7" max="7" width="9.85546875" style="1" customWidth="1"/>
    <col min="8" max="9" width="9.42578125" style="1" bestFit="1" customWidth="1"/>
    <col min="10" max="256" width="9.140625" style="1"/>
    <col min="257" max="257" width="18.140625" style="1" customWidth="1"/>
    <col min="258" max="258" width="28.7109375" style="1" customWidth="1"/>
    <col min="259" max="259" width="0" style="1" hidden="1" customWidth="1"/>
    <col min="260" max="260" width="13.5703125" style="1" customWidth="1"/>
    <col min="261" max="261" width="10.28515625" style="1" customWidth="1"/>
    <col min="262" max="262" width="9.42578125" style="1" customWidth="1"/>
    <col min="263" max="263" width="9.85546875" style="1" customWidth="1"/>
    <col min="264" max="265" width="9.42578125" style="1" bestFit="1" customWidth="1"/>
    <col min="266" max="512" width="9.140625" style="1"/>
    <col min="513" max="513" width="18.140625" style="1" customWidth="1"/>
    <col min="514" max="514" width="28.7109375" style="1" customWidth="1"/>
    <col min="515" max="515" width="0" style="1" hidden="1" customWidth="1"/>
    <col min="516" max="516" width="13.5703125" style="1" customWidth="1"/>
    <col min="517" max="517" width="10.28515625" style="1" customWidth="1"/>
    <col min="518" max="518" width="9.42578125" style="1" customWidth="1"/>
    <col min="519" max="519" width="9.85546875" style="1" customWidth="1"/>
    <col min="520" max="521" width="9.42578125" style="1" bestFit="1" customWidth="1"/>
    <col min="522" max="768" width="9.140625" style="1"/>
    <col min="769" max="769" width="18.140625" style="1" customWidth="1"/>
    <col min="770" max="770" width="28.7109375" style="1" customWidth="1"/>
    <col min="771" max="771" width="0" style="1" hidden="1" customWidth="1"/>
    <col min="772" max="772" width="13.5703125" style="1" customWidth="1"/>
    <col min="773" max="773" width="10.28515625" style="1" customWidth="1"/>
    <col min="774" max="774" width="9.42578125" style="1" customWidth="1"/>
    <col min="775" max="775" width="9.85546875" style="1" customWidth="1"/>
    <col min="776" max="777" width="9.42578125" style="1" bestFit="1" customWidth="1"/>
    <col min="778" max="1024" width="9.140625" style="1"/>
    <col min="1025" max="1025" width="18.140625" style="1" customWidth="1"/>
    <col min="1026" max="1026" width="28.7109375" style="1" customWidth="1"/>
    <col min="1027" max="1027" width="0" style="1" hidden="1" customWidth="1"/>
    <col min="1028" max="1028" width="13.5703125" style="1" customWidth="1"/>
    <col min="1029" max="1029" width="10.28515625" style="1" customWidth="1"/>
    <col min="1030" max="1030" width="9.42578125" style="1" customWidth="1"/>
    <col min="1031" max="1031" width="9.85546875" style="1" customWidth="1"/>
    <col min="1032" max="1033" width="9.42578125" style="1" bestFit="1" customWidth="1"/>
    <col min="1034" max="1280" width="9.140625" style="1"/>
    <col min="1281" max="1281" width="18.140625" style="1" customWidth="1"/>
    <col min="1282" max="1282" width="28.7109375" style="1" customWidth="1"/>
    <col min="1283" max="1283" width="0" style="1" hidden="1" customWidth="1"/>
    <col min="1284" max="1284" width="13.5703125" style="1" customWidth="1"/>
    <col min="1285" max="1285" width="10.28515625" style="1" customWidth="1"/>
    <col min="1286" max="1286" width="9.42578125" style="1" customWidth="1"/>
    <col min="1287" max="1287" width="9.85546875" style="1" customWidth="1"/>
    <col min="1288" max="1289" width="9.42578125" style="1" bestFit="1" customWidth="1"/>
    <col min="1290" max="1536" width="9.140625" style="1"/>
    <col min="1537" max="1537" width="18.140625" style="1" customWidth="1"/>
    <col min="1538" max="1538" width="28.7109375" style="1" customWidth="1"/>
    <col min="1539" max="1539" width="0" style="1" hidden="1" customWidth="1"/>
    <col min="1540" max="1540" width="13.5703125" style="1" customWidth="1"/>
    <col min="1541" max="1541" width="10.28515625" style="1" customWidth="1"/>
    <col min="1542" max="1542" width="9.42578125" style="1" customWidth="1"/>
    <col min="1543" max="1543" width="9.85546875" style="1" customWidth="1"/>
    <col min="1544" max="1545" width="9.42578125" style="1" bestFit="1" customWidth="1"/>
    <col min="1546" max="1792" width="9.140625" style="1"/>
    <col min="1793" max="1793" width="18.140625" style="1" customWidth="1"/>
    <col min="1794" max="1794" width="28.7109375" style="1" customWidth="1"/>
    <col min="1795" max="1795" width="0" style="1" hidden="1" customWidth="1"/>
    <col min="1796" max="1796" width="13.5703125" style="1" customWidth="1"/>
    <col min="1797" max="1797" width="10.28515625" style="1" customWidth="1"/>
    <col min="1798" max="1798" width="9.42578125" style="1" customWidth="1"/>
    <col min="1799" max="1799" width="9.85546875" style="1" customWidth="1"/>
    <col min="1800" max="1801" width="9.42578125" style="1" bestFit="1" customWidth="1"/>
    <col min="1802" max="2048" width="9.140625" style="1"/>
    <col min="2049" max="2049" width="18.140625" style="1" customWidth="1"/>
    <col min="2050" max="2050" width="28.7109375" style="1" customWidth="1"/>
    <col min="2051" max="2051" width="0" style="1" hidden="1" customWidth="1"/>
    <col min="2052" max="2052" width="13.5703125" style="1" customWidth="1"/>
    <col min="2053" max="2053" width="10.28515625" style="1" customWidth="1"/>
    <col min="2054" max="2054" width="9.42578125" style="1" customWidth="1"/>
    <col min="2055" max="2055" width="9.85546875" style="1" customWidth="1"/>
    <col min="2056" max="2057" width="9.42578125" style="1" bestFit="1" customWidth="1"/>
    <col min="2058" max="2304" width="9.140625" style="1"/>
    <col min="2305" max="2305" width="18.140625" style="1" customWidth="1"/>
    <col min="2306" max="2306" width="28.7109375" style="1" customWidth="1"/>
    <col min="2307" max="2307" width="0" style="1" hidden="1" customWidth="1"/>
    <col min="2308" max="2308" width="13.5703125" style="1" customWidth="1"/>
    <col min="2309" max="2309" width="10.28515625" style="1" customWidth="1"/>
    <col min="2310" max="2310" width="9.42578125" style="1" customWidth="1"/>
    <col min="2311" max="2311" width="9.85546875" style="1" customWidth="1"/>
    <col min="2312" max="2313" width="9.42578125" style="1" bestFit="1" customWidth="1"/>
    <col min="2314" max="2560" width="9.140625" style="1"/>
    <col min="2561" max="2561" width="18.140625" style="1" customWidth="1"/>
    <col min="2562" max="2562" width="28.7109375" style="1" customWidth="1"/>
    <col min="2563" max="2563" width="0" style="1" hidden="1" customWidth="1"/>
    <col min="2564" max="2564" width="13.5703125" style="1" customWidth="1"/>
    <col min="2565" max="2565" width="10.28515625" style="1" customWidth="1"/>
    <col min="2566" max="2566" width="9.42578125" style="1" customWidth="1"/>
    <col min="2567" max="2567" width="9.85546875" style="1" customWidth="1"/>
    <col min="2568" max="2569" width="9.42578125" style="1" bestFit="1" customWidth="1"/>
    <col min="2570" max="2816" width="9.140625" style="1"/>
    <col min="2817" max="2817" width="18.140625" style="1" customWidth="1"/>
    <col min="2818" max="2818" width="28.7109375" style="1" customWidth="1"/>
    <col min="2819" max="2819" width="0" style="1" hidden="1" customWidth="1"/>
    <col min="2820" max="2820" width="13.5703125" style="1" customWidth="1"/>
    <col min="2821" max="2821" width="10.28515625" style="1" customWidth="1"/>
    <col min="2822" max="2822" width="9.42578125" style="1" customWidth="1"/>
    <col min="2823" max="2823" width="9.85546875" style="1" customWidth="1"/>
    <col min="2824" max="2825" width="9.42578125" style="1" bestFit="1" customWidth="1"/>
    <col min="2826" max="3072" width="9.140625" style="1"/>
    <col min="3073" max="3073" width="18.140625" style="1" customWidth="1"/>
    <col min="3074" max="3074" width="28.7109375" style="1" customWidth="1"/>
    <col min="3075" max="3075" width="0" style="1" hidden="1" customWidth="1"/>
    <col min="3076" max="3076" width="13.5703125" style="1" customWidth="1"/>
    <col min="3077" max="3077" width="10.28515625" style="1" customWidth="1"/>
    <col min="3078" max="3078" width="9.42578125" style="1" customWidth="1"/>
    <col min="3079" max="3079" width="9.85546875" style="1" customWidth="1"/>
    <col min="3080" max="3081" width="9.42578125" style="1" bestFit="1" customWidth="1"/>
    <col min="3082" max="3328" width="9.140625" style="1"/>
    <col min="3329" max="3329" width="18.140625" style="1" customWidth="1"/>
    <col min="3330" max="3330" width="28.7109375" style="1" customWidth="1"/>
    <col min="3331" max="3331" width="0" style="1" hidden="1" customWidth="1"/>
    <col min="3332" max="3332" width="13.5703125" style="1" customWidth="1"/>
    <col min="3333" max="3333" width="10.28515625" style="1" customWidth="1"/>
    <col min="3334" max="3334" width="9.42578125" style="1" customWidth="1"/>
    <col min="3335" max="3335" width="9.85546875" style="1" customWidth="1"/>
    <col min="3336" max="3337" width="9.42578125" style="1" bestFit="1" customWidth="1"/>
    <col min="3338" max="3584" width="9.140625" style="1"/>
    <col min="3585" max="3585" width="18.140625" style="1" customWidth="1"/>
    <col min="3586" max="3586" width="28.7109375" style="1" customWidth="1"/>
    <col min="3587" max="3587" width="0" style="1" hidden="1" customWidth="1"/>
    <col min="3588" max="3588" width="13.5703125" style="1" customWidth="1"/>
    <col min="3589" max="3589" width="10.28515625" style="1" customWidth="1"/>
    <col min="3590" max="3590" width="9.42578125" style="1" customWidth="1"/>
    <col min="3591" max="3591" width="9.85546875" style="1" customWidth="1"/>
    <col min="3592" max="3593" width="9.42578125" style="1" bestFit="1" customWidth="1"/>
    <col min="3594" max="3840" width="9.140625" style="1"/>
    <col min="3841" max="3841" width="18.140625" style="1" customWidth="1"/>
    <col min="3842" max="3842" width="28.7109375" style="1" customWidth="1"/>
    <col min="3843" max="3843" width="0" style="1" hidden="1" customWidth="1"/>
    <col min="3844" max="3844" width="13.5703125" style="1" customWidth="1"/>
    <col min="3845" max="3845" width="10.28515625" style="1" customWidth="1"/>
    <col min="3846" max="3846" width="9.42578125" style="1" customWidth="1"/>
    <col min="3847" max="3847" width="9.85546875" style="1" customWidth="1"/>
    <col min="3848" max="3849" width="9.42578125" style="1" bestFit="1" customWidth="1"/>
    <col min="3850" max="4096" width="9.140625" style="1"/>
    <col min="4097" max="4097" width="18.140625" style="1" customWidth="1"/>
    <col min="4098" max="4098" width="28.7109375" style="1" customWidth="1"/>
    <col min="4099" max="4099" width="0" style="1" hidden="1" customWidth="1"/>
    <col min="4100" max="4100" width="13.5703125" style="1" customWidth="1"/>
    <col min="4101" max="4101" width="10.28515625" style="1" customWidth="1"/>
    <col min="4102" max="4102" width="9.42578125" style="1" customWidth="1"/>
    <col min="4103" max="4103" width="9.85546875" style="1" customWidth="1"/>
    <col min="4104" max="4105" width="9.42578125" style="1" bestFit="1" customWidth="1"/>
    <col min="4106" max="4352" width="9.140625" style="1"/>
    <col min="4353" max="4353" width="18.140625" style="1" customWidth="1"/>
    <col min="4354" max="4354" width="28.7109375" style="1" customWidth="1"/>
    <col min="4355" max="4355" width="0" style="1" hidden="1" customWidth="1"/>
    <col min="4356" max="4356" width="13.5703125" style="1" customWidth="1"/>
    <col min="4357" max="4357" width="10.28515625" style="1" customWidth="1"/>
    <col min="4358" max="4358" width="9.42578125" style="1" customWidth="1"/>
    <col min="4359" max="4359" width="9.85546875" style="1" customWidth="1"/>
    <col min="4360" max="4361" width="9.42578125" style="1" bestFit="1" customWidth="1"/>
    <col min="4362" max="4608" width="9.140625" style="1"/>
    <col min="4609" max="4609" width="18.140625" style="1" customWidth="1"/>
    <col min="4610" max="4610" width="28.7109375" style="1" customWidth="1"/>
    <col min="4611" max="4611" width="0" style="1" hidden="1" customWidth="1"/>
    <col min="4612" max="4612" width="13.5703125" style="1" customWidth="1"/>
    <col min="4613" max="4613" width="10.28515625" style="1" customWidth="1"/>
    <col min="4614" max="4614" width="9.42578125" style="1" customWidth="1"/>
    <col min="4615" max="4615" width="9.85546875" style="1" customWidth="1"/>
    <col min="4616" max="4617" width="9.42578125" style="1" bestFit="1" customWidth="1"/>
    <col min="4618" max="4864" width="9.140625" style="1"/>
    <col min="4865" max="4865" width="18.140625" style="1" customWidth="1"/>
    <col min="4866" max="4866" width="28.7109375" style="1" customWidth="1"/>
    <col min="4867" max="4867" width="0" style="1" hidden="1" customWidth="1"/>
    <col min="4868" max="4868" width="13.5703125" style="1" customWidth="1"/>
    <col min="4869" max="4869" width="10.28515625" style="1" customWidth="1"/>
    <col min="4870" max="4870" width="9.42578125" style="1" customWidth="1"/>
    <col min="4871" max="4871" width="9.85546875" style="1" customWidth="1"/>
    <col min="4872" max="4873" width="9.42578125" style="1" bestFit="1" customWidth="1"/>
    <col min="4874" max="5120" width="9.140625" style="1"/>
    <col min="5121" max="5121" width="18.140625" style="1" customWidth="1"/>
    <col min="5122" max="5122" width="28.7109375" style="1" customWidth="1"/>
    <col min="5123" max="5123" width="0" style="1" hidden="1" customWidth="1"/>
    <col min="5124" max="5124" width="13.5703125" style="1" customWidth="1"/>
    <col min="5125" max="5125" width="10.28515625" style="1" customWidth="1"/>
    <col min="5126" max="5126" width="9.42578125" style="1" customWidth="1"/>
    <col min="5127" max="5127" width="9.85546875" style="1" customWidth="1"/>
    <col min="5128" max="5129" width="9.42578125" style="1" bestFit="1" customWidth="1"/>
    <col min="5130" max="5376" width="9.140625" style="1"/>
    <col min="5377" max="5377" width="18.140625" style="1" customWidth="1"/>
    <col min="5378" max="5378" width="28.7109375" style="1" customWidth="1"/>
    <col min="5379" max="5379" width="0" style="1" hidden="1" customWidth="1"/>
    <col min="5380" max="5380" width="13.5703125" style="1" customWidth="1"/>
    <col min="5381" max="5381" width="10.28515625" style="1" customWidth="1"/>
    <col min="5382" max="5382" width="9.42578125" style="1" customWidth="1"/>
    <col min="5383" max="5383" width="9.85546875" style="1" customWidth="1"/>
    <col min="5384" max="5385" width="9.42578125" style="1" bestFit="1" customWidth="1"/>
    <col min="5386" max="5632" width="9.140625" style="1"/>
    <col min="5633" max="5633" width="18.140625" style="1" customWidth="1"/>
    <col min="5634" max="5634" width="28.7109375" style="1" customWidth="1"/>
    <col min="5635" max="5635" width="0" style="1" hidden="1" customWidth="1"/>
    <col min="5636" max="5636" width="13.5703125" style="1" customWidth="1"/>
    <col min="5637" max="5637" width="10.28515625" style="1" customWidth="1"/>
    <col min="5638" max="5638" width="9.42578125" style="1" customWidth="1"/>
    <col min="5639" max="5639" width="9.85546875" style="1" customWidth="1"/>
    <col min="5640" max="5641" width="9.42578125" style="1" bestFit="1" customWidth="1"/>
    <col min="5642" max="5888" width="9.140625" style="1"/>
    <col min="5889" max="5889" width="18.140625" style="1" customWidth="1"/>
    <col min="5890" max="5890" width="28.7109375" style="1" customWidth="1"/>
    <col min="5891" max="5891" width="0" style="1" hidden="1" customWidth="1"/>
    <col min="5892" max="5892" width="13.5703125" style="1" customWidth="1"/>
    <col min="5893" max="5893" width="10.28515625" style="1" customWidth="1"/>
    <col min="5894" max="5894" width="9.42578125" style="1" customWidth="1"/>
    <col min="5895" max="5895" width="9.85546875" style="1" customWidth="1"/>
    <col min="5896" max="5897" width="9.42578125" style="1" bestFit="1" customWidth="1"/>
    <col min="5898" max="6144" width="9.140625" style="1"/>
    <col min="6145" max="6145" width="18.140625" style="1" customWidth="1"/>
    <col min="6146" max="6146" width="28.7109375" style="1" customWidth="1"/>
    <col min="6147" max="6147" width="0" style="1" hidden="1" customWidth="1"/>
    <col min="6148" max="6148" width="13.5703125" style="1" customWidth="1"/>
    <col min="6149" max="6149" width="10.28515625" style="1" customWidth="1"/>
    <col min="6150" max="6150" width="9.42578125" style="1" customWidth="1"/>
    <col min="6151" max="6151" width="9.85546875" style="1" customWidth="1"/>
    <col min="6152" max="6153" width="9.42578125" style="1" bestFit="1" customWidth="1"/>
    <col min="6154" max="6400" width="9.140625" style="1"/>
    <col min="6401" max="6401" width="18.140625" style="1" customWidth="1"/>
    <col min="6402" max="6402" width="28.7109375" style="1" customWidth="1"/>
    <col min="6403" max="6403" width="0" style="1" hidden="1" customWidth="1"/>
    <col min="6404" max="6404" width="13.5703125" style="1" customWidth="1"/>
    <col min="6405" max="6405" width="10.28515625" style="1" customWidth="1"/>
    <col min="6406" max="6406" width="9.42578125" style="1" customWidth="1"/>
    <col min="6407" max="6407" width="9.85546875" style="1" customWidth="1"/>
    <col min="6408" max="6409" width="9.42578125" style="1" bestFit="1" customWidth="1"/>
    <col min="6410" max="6656" width="9.140625" style="1"/>
    <col min="6657" max="6657" width="18.140625" style="1" customWidth="1"/>
    <col min="6658" max="6658" width="28.7109375" style="1" customWidth="1"/>
    <col min="6659" max="6659" width="0" style="1" hidden="1" customWidth="1"/>
    <col min="6660" max="6660" width="13.5703125" style="1" customWidth="1"/>
    <col min="6661" max="6661" width="10.28515625" style="1" customWidth="1"/>
    <col min="6662" max="6662" width="9.42578125" style="1" customWidth="1"/>
    <col min="6663" max="6663" width="9.85546875" style="1" customWidth="1"/>
    <col min="6664" max="6665" width="9.42578125" style="1" bestFit="1" customWidth="1"/>
    <col min="6666" max="6912" width="9.140625" style="1"/>
    <col min="6913" max="6913" width="18.140625" style="1" customWidth="1"/>
    <col min="6914" max="6914" width="28.7109375" style="1" customWidth="1"/>
    <col min="6915" max="6915" width="0" style="1" hidden="1" customWidth="1"/>
    <col min="6916" max="6916" width="13.5703125" style="1" customWidth="1"/>
    <col min="6917" max="6917" width="10.28515625" style="1" customWidth="1"/>
    <col min="6918" max="6918" width="9.42578125" style="1" customWidth="1"/>
    <col min="6919" max="6919" width="9.85546875" style="1" customWidth="1"/>
    <col min="6920" max="6921" width="9.42578125" style="1" bestFit="1" customWidth="1"/>
    <col min="6922" max="7168" width="9.140625" style="1"/>
    <col min="7169" max="7169" width="18.140625" style="1" customWidth="1"/>
    <col min="7170" max="7170" width="28.7109375" style="1" customWidth="1"/>
    <col min="7171" max="7171" width="0" style="1" hidden="1" customWidth="1"/>
    <col min="7172" max="7172" width="13.5703125" style="1" customWidth="1"/>
    <col min="7173" max="7173" width="10.28515625" style="1" customWidth="1"/>
    <col min="7174" max="7174" width="9.42578125" style="1" customWidth="1"/>
    <col min="7175" max="7175" width="9.85546875" style="1" customWidth="1"/>
    <col min="7176" max="7177" width="9.42578125" style="1" bestFit="1" customWidth="1"/>
    <col min="7178" max="7424" width="9.140625" style="1"/>
    <col min="7425" max="7425" width="18.140625" style="1" customWidth="1"/>
    <col min="7426" max="7426" width="28.7109375" style="1" customWidth="1"/>
    <col min="7427" max="7427" width="0" style="1" hidden="1" customWidth="1"/>
    <col min="7428" max="7428" width="13.5703125" style="1" customWidth="1"/>
    <col min="7429" max="7429" width="10.28515625" style="1" customWidth="1"/>
    <col min="7430" max="7430" width="9.42578125" style="1" customWidth="1"/>
    <col min="7431" max="7431" width="9.85546875" style="1" customWidth="1"/>
    <col min="7432" max="7433" width="9.42578125" style="1" bestFit="1" customWidth="1"/>
    <col min="7434" max="7680" width="9.140625" style="1"/>
    <col min="7681" max="7681" width="18.140625" style="1" customWidth="1"/>
    <col min="7682" max="7682" width="28.7109375" style="1" customWidth="1"/>
    <col min="7683" max="7683" width="0" style="1" hidden="1" customWidth="1"/>
    <col min="7684" max="7684" width="13.5703125" style="1" customWidth="1"/>
    <col min="7685" max="7685" width="10.28515625" style="1" customWidth="1"/>
    <col min="7686" max="7686" width="9.42578125" style="1" customWidth="1"/>
    <col min="7687" max="7687" width="9.85546875" style="1" customWidth="1"/>
    <col min="7688" max="7689" width="9.42578125" style="1" bestFit="1" customWidth="1"/>
    <col min="7690" max="7936" width="9.140625" style="1"/>
    <col min="7937" max="7937" width="18.140625" style="1" customWidth="1"/>
    <col min="7938" max="7938" width="28.7109375" style="1" customWidth="1"/>
    <col min="7939" max="7939" width="0" style="1" hidden="1" customWidth="1"/>
    <col min="7940" max="7940" width="13.5703125" style="1" customWidth="1"/>
    <col min="7941" max="7941" width="10.28515625" style="1" customWidth="1"/>
    <col min="7942" max="7942" width="9.42578125" style="1" customWidth="1"/>
    <col min="7943" max="7943" width="9.85546875" style="1" customWidth="1"/>
    <col min="7944" max="7945" width="9.42578125" style="1" bestFit="1" customWidth="1"/>
    <col min="7946" max="8192" width="9.140625" style="1"/>
    <col min="8193" max="8193" width="18.140625" style="1" customWidth="1"/>
    <col min="8194" max="8194" width="28.7109375" style="1" customWidth="1"/>
    <col min="8195" max="8195" width="0" style="1" hidden="1" customWidth="1"/>
    <col min="8196" max="8196" width="13.5703125" style="1" customWidth="1"/>
    <col min="8197" max="8197" width="10.28515625" style="1" customWidth="1"/>
    <col min="8198" max="8198" width="9.42578125" style="1" customWidth="1"/>
    <col min="8199" max="8199" width="9.85546875" style="1" customWidth="1"/>
    <col min="8200" max="8201" width="9.42578125" style="1" bestFit="1" customWidth="1"/>
    <col min="8202" max="8448" width="9.140625" style="1"/>
    <col min="8449" max="8449" width="18.140625" style="1" customWidth="1"/>
    <col min="8450" max="8450" width="28.7109375" style="1" customWidth="1"/>
    <col min="8451" max="8451" width="0" style="1" hidden="1" customWidth="1"/>
    <col min="8452" max="8452" width="13.5703125" style="1" customWidth="1"/>
    <col min="8453" max="8453" width="10.28515625" style="1" customWidth="1"/>
    <col min="8454" max="8454" width="9.42578125" style="1" customWidth="1"/>
    <col min="8455" max="8455" width="9.85546875" style="1" customWidth="1"/>
    <col min="8456" max="8457" width="9.42578125" style="1" bestFit="1" customWidth="1"/>
    <col min="8458" max="8704" width="9.140625" style="1"/>
    <col min="8705" max="8705" width="18.140625" style="1" customWidth="1"/>
    <col min="8706" max="8706" width="28.7109375" style="1" customWidth="1"/>
    <col min="8707" max="8707" width="0" style="1" hidden="1" customWidth="1"/>
    <col min="8708" max="8708" width="13.5703125" style="1" customWidth="1"/>
    <col min="8709" max="8709" width="10.28515625" style="1" customWidth="1"/>
    <col min="8710" max="8710" width="9.42578125" style="1" customWidth="1"/>
    <col min="8711" max="8711" width="9.85546875" style="1" customWidth="1"/>
    <col min="8712" max="8713" width="9.42578125" style="1" bestFit="1" customWidth="1"/>
    <col min="8714" max="8960" width="9.140625" style="1"/>
    <col min="8961" max="8961" width="18.140625" style="1" customWidth="1"/>
    <col min="8962" max="8962" width="28.7109375" style="1" customWidth="1"/>
    <col min="8963" max="8963" width="0" style="1" hidden="1" customWidth="1"/>
    <col min="8964" max="8964" width="13.5703125" style="1" customWidth="1"/>
    <col min="8965" max="8965" width="10.28515625" style="1" customWidth="1"/>
    <col min="8966" max="8966" width="9.42578125" style="1" customWidth="1"/>
    <col min="8967" max="8967" width="9.85546875" style="1" customWidth="1"/>
    <col min="8968" max="8969" width="9.42578125" style="1" bestFit="1" customWidth="1"/>
    <col min="8970" max="9216" width="9.140625" style="1"/>
    <col min="9217" max="9217" width="18.140625" style="1" customWidth="1"/>
    <col min="9218" max="9218" width="28.7109375" style="1" customWidth="1"/>
    <col min="9219" max="9219" width="0" style="1" hidden="1" customWidth="1"/>
    <col min="9220" max="9220" width="13.5703125" style="1" customWidth="1"/>
    <col min="9221" max="9221" width="10.28515625" style="1" customWidth="1"/>
    <col min="9222" max="9222" width="9.42578125" style="1" customWidth="1"/>
    <col min="9223" max="9223" width="9.85546875" style="1" customWidth="1"/>
    <col min="9224" max="9225" width="9.42578125" style="1" bestFit="1" customWidth="1"/>
    <col min="9226" max="9472" width="9.140625" style="1"/>
    <col min="9473" max="9473" width="18.140625" style="1" customWidth="1"/>
    <col min="9474" max="9474" width="28.7109375" style="1" customWidth="1"/>
    <col min="9475" max="9475" width="0" style="1" hidden="1" customWidth="1"/>
    <col min="9476" max="9476" width="13.5703125" style="1" customWidth="1"/>
    <col min="9477" max="9477" width="10.28515625" style="1" customWidth="1"/>
    <col min="9478" max="9478" width="9.42578125" style="1" customWidth="1"/>
    <col min="9479" max="9479" width="9.85546875" style="1" customWidth="1"/>
    <col min="9480" max="9481" width="9.42578125" style="1" bestFit="1" customWidth="1"/>
    <col min="9482" max="9728" width="9.140625" style="1"/>
    <col min="9729" max="9729" width="18.140625" style="1" customWidth="1"/>
    <col min="9730" max="9730" width="28.7109375" style="1" customWidth="1"/>
    <col min="9731" max="9731" width="0" style="1" hidden="1" customWidth="1"/>
    <col min="9732" max="9732" width="13.5703125" style="1" customWidth="1"/>
    <col min="9733" max="9733" width="10.28515625" style="1" customWidth="1"/>
    <col min="9734" max="9734" width="9.42578125" style="1" customWidth="1"/>
    <col min="9735" max="9735" width="9.85546875" style="1" customWidth="1"/>
    <col min="9736" max="9737" width="9.42578125" style="1" bestFit="1" customWidth="1"/>
    <col min="9738" max="9984" width="9.140625" style="1"/>
    <col min="9985" max="9985" width="18.140625" style="1" customWidth="1"/>
    <col min="9986" max="9986" width="28.7109375" style="1" customWidth="1"/>
    <col min="9987" max="9987" width="0" style="1" hidden="1" customWidth="1"/>
    <col min="9988" max="9988" width="13.5703125" style="1" customWidth="1"/>
    <col min="9989" max="9989" width="10.28515625" style="1" customWidth="1"/>
    <col min="9990" max="9990" width="9.42578125" style="1" customWidth="1"/>
    <col min="9991" max="9991" width="9.85546875" style="1" customWidth="1"/>
    <col min="9992" max="9993" width="9.42578125" style="1" bestFit="1" customWidth="1"/>
    <col min="9994" max="10240" width="9.140625" style="1"/>
    <col min="10241" max="10241" width="18.140625" style="1" customWidth="1"/>
    <col min="10242" max="10242" width="28.7109375" style="1" customWidth="1"/>
    <col min="10243" max="10243" width="0" style="1" hidden="1" customWidth="1"/>
    <col min="10244" max="10244" width="13.5703125" style="1" customWidth="1"/>
    <col min="10245" max="10245" width="10.28515625" style="1" customWidth="1"/>
    <col min="10246" max="10246" width="9.42578125" style="1" customWidth="1"/>
    <col min="10247" max="10247" width="9.85546875" style="1" customWidth="1"/>
    <col min="10248" max="10249" width="9.42578125" style="1" bestFit="1" customWidth="1"/>
    <col min="10250" max="10496" width="9.140625" style="1"/>
    <col min="10497" max="10497" width="18.140625" style="1" customWidth="1"/>
    <col min="10498" max="10498" width="28.7109375" style="1" customWidth="1"/>
    <col min="10499" max="10499" width="0" style="1" hidden="1" customWidth="1"/>
    <col min="10500" max="10500" width="13.5703125" style="1" customWidth="1"/>
    <col min="10501" max="10501" width="10.28515625" style="1" customWidth="1"/>
    <col min="10502" max="10502" width="9.42578125" style="1" customWidth="1"/>
    <col min="10503" max="10503" width="9.85546875" style="1" customWidth="1"/>
    <col min="10504" max="10505" width="9.42578125" style="1" bestFit="1" customWidth="1"/>
    <col min="10506" max="10752" width="9.140625" style="1"/>
    <col min="10753" max="10753" width="18.140625" style="1" customWidth="1"/>
    <col min="10754" max="10754" width="28.7109375" style="1" customWidth="1"/>
    <col min="10755" max="10755" width="0" style="1" hidden="1" customWidth="1"/>
    <col min="10756" max="10756" width="13.5703125" style="1" customWidth="1"/>
    <col min="10757" max="10757" width="10.28515625" style="1" customWidth="1"/>
    <col min="10758" max="10758" width="9.42578125" style="1" customWidth="1"/>
    <col min="10759" max="10759" width="9.85546875" style="1" customWidth="1"/>
    <col min="10760" max="10761" width="9.42578125" style="1" bestFit="1" customWidth="1"/>
    <col min="10762" max="11008" width="9.140625" style="1"/>
    <col min="11009" max="11009" width="18.140625" style="1" customWidth="1"/>
    <col min="11010" max="11010" width="28.7109375" style="1" customWidth="1"/>
    <col min="11011" max="11011" width="0" style="1" hidden="1" customWidth="1"/>
    <col min="11012" max="11012" width="13.5703125" style="1" customWidth="1"/>
    <col min="11013" max="11013" width="10.28515625" style="1" customWidth="1"/>
    <col min="11014" max="11014" width="9.42578125" style="1" customWidth="1"/>
    <col min="11015" max="11015" width="9.85546875" style="1" customWidth="1"/>
    <col min="11016" max="11017" width="9.42578125" style="1" bestFit="1" customWidth="1"/>
    <col min="11018" max="11264" width="9.140625" style="1"/>
    <col min="11265" max="11265" width="18.140625" style="1" customWidth="1"/>
    <col min="11266" max="11266" width="28.7109375" style="1" customWidth="1"/>
    <col min="11267" max="11267" width="0" style="1" hidden="1" customWidth="1"/>
    <col min="11268" max="11268" width="13.5703125" style="1" customWidth="1"/>
    <col min="11269" max="11269" width="10.28515625" style="1" customWidth="1"/>
    <col min="11270" max="11270" width="9.42578125" style="1" customWidth="1"/>
    <col min="11271" max="11271" width="9.85546875" style="1" customWidth="1"/>
    <col min="11272" max="11273" width="9.42578125" style="1" bestFit="1" customWidth="1"/>
    <col min="11274" max="11520" width="9.140625" style="1"/>
    <col min="11521" max="11521" width="18.140625" style="1" customWidth="1"/>
    <col min="11522" max="11522" width="28.7109375" style="1" customWidth="1"/>
    <col min="11523" max="11523" width="0" style="1" hidden="1" customWidth="1"/>
    <col min="11524" max="11524" width="13.5703125" style="1" customWidth="1"/>
    <col min="11525" max="11525" width="10.28515625" style="1" customWidth="1"/>
    <col min="11526" max="11526" width="9.42578125" style="1" customWidth="1"/>
    <col min="11527" max="11527" width="9.85546875" style="1" customWidth="1"/>
    <col min="11528" max="11529" width="9.42578125" style="1" bestFit="1" customWidth="1"/>
    <col min="11530" max="11776" width="9.140625" style="1"/>
    <col min="11777" max="11777" width="18.140625" style="1" customWidth="1"/>
    <col min="11778" max="11778" width="28.7109375" style="1" customWidth="1"/>
    <col min="11779" max="11779" width="0" style="1" hidden="1" customWidth="1"/>
    <col min="11780" max="11780" width="13.5703125" style="1" customWidth="1"/>
    <col min="11781" max="11781" width="10.28515625" style="1" customWidth="1"/>
    <col min="11782" max="11782" width="9.42578125" style="1" customWidth="1"/>
    <col min="11783" max="11783" width="9.85546875" style="1" customWidth="1"/>
    <col min="11784" max="11785" width="9.42578125" style="1" bestFit="1" customWidth="1"/>
    <col min="11786" max="12032" width="9.140625" style="1"/>
    <col min="12033" max="12033" width="18.140625" style="1" customWidth="1"/>
    <col min="12034" max="12034" width="28.7109375" style="1" customWidth="1"/>
    <col min="12035" max="12035" width="0" style="1" hidden="1" customWidth="1"/>
    <col min="12036" max="12036" width="13.5703125" style="1" customWidth="1"/>
    <col min="12037" max="12037" width="10.28515625" style="1" customWidth="1"/>
    <col min="12038" max="12038" width="9.42578125" style="1" customWidth="1"/>
    <col min="12039" max="12039" width="9.85546875" style="1" customWidth="1"/>
    <col min="12040" max="12041" width="9.42578125" style="1" bestFit="1" customWidth="1"/>
    <col min="12042" max="12288" width="9.140625" style="1"/>
    <col min="12289" max="12289" width="18.140625" style="1" customWidth="1"/>
    <col min="12290" max="12290" width="28.7109375" style="1" customWidth="1"/>
    <col min="12291" max="12291" width="0" style="1" hidden="1" customWidth="1"/>
    <col min="12292" max="12292" width="13.5703125" style="1" customWidth="1"/>
    <col min="12293" max="12293" width="10.28515625" style="1" customWidth="1"/>
    <col min="12294" max="12294" width="9.42578125" style="1" customWidth="1"/>
    <col min="12295" max="12295" width="9.85546875" style="1" customWidth="1"/>
    <col min="12296" max="12297" width="9.42578125" style="1" bestFit="1" customWidth="1"/>
    <col min="12298" max="12544" width="9.140625" style="1"/>
    <col min="12545" max="12545" width="18.140625" style="1" customWidth="1"/>
    <col min="12546" max="12546" width="28.7109375" style="1" customWidth="1"/>
    <col min="12547" max="12547" width="0" style="1" hidden="1" customWidth="1"/>
    <col min="12548" max="12548" width="13.5703125" style="1" customWidth="1"/>
    <col min="12549" max="12549" width="10.28515625" style="1" customWidth="1"/>
    <col min="12550" max="12550" width="9.42578125" style="1" customWidth="1"/>
    <col min="12551" max="12551" width="9.85546875" style="1" customWidth="1"/>
    <col min="12552" max="12553" width="9.42578125" style="1" bestFit="1" customWidth="1"/>
    <col min="12554" max="12800" width="9.140625" style="1"/>
    <col min="12801" max="12801" width="18.140625" style="1" customWidth="1"/>
    <col min="12802" max="12802" width="28.7109375" style="1" customWidth="1"/>
    <col min="12803" max="12803" width="0" style="1" hidden="1" customWidth="1"/>
    <col min="12804" max="12804" width="13.5703125" style="1" customWidth="1"/>
    <col min="12805" max="12805" width="10.28515625" style="1" customWidth="1"/>
    <col min="12806" max="12806" width="9.42578125" style="1" customWidth="1"/>
    <col min="12807" max="12807" width="9.85546875" style="1" customWidth="1"/>
    <col min="12808" max="12809" width="9.42578125" style="1" bestFit="1" customWidth="1"/>
    <col min="12810" max="13056" width="9.140625" style="1"/>
    <col min="13057" max="13057" width="18.140625" style="1" customWidth="1"/>
    <col min="13058" max="13058" width="28.7109375" style="1" customWidth="1"/>
    <col min="13059" max="13059" width="0" style="1" hidden="1" customWidth="1"/>
    <col min="13060" max="13060" width="13.5703125" style="1" customWidth="1"/>
    <col min="13061" max="13061" width="10.28515625" style="1" customWidth="1"/>
    <col min="13062" max="13062" width="9.42578125" style="1" customWidth="1"/>
    <col min="13063" max="13063" width="9.85546875" style="1" customWidth="1"/>
    <col min="13064" max="13065" width="9.42578125" style="1" bestFit="1" customWidth="1"/>
    <col min="13066" max="13312" width="9.140625" style="1"/>
    <col min="13313" max="13313" width="18.140625" style="1" customWidth="1"/>
    <col min="13314" max="13314" width="28.7109375" style="1" customWidth="1"/>
    <col min="13315" max="13315" width="0" style="1" hidden="1" customWidth="1"/>
    <col min="13316" max="13316" width="13.5703125" style="1" customWidth="1"/>
    <col min="13317" max="13317" width="10.28515625" style="1" customWidth="1"/>
    <col min="13318" max="13318" width="9.42578125" style="1" customWidth="1"/>
    <col min="13319" max="13319" width="9.85546875" style="1" customWidth="1"/>
    <col min="13320" max="13321" width="9.42578125" style="1" bestFit="1" customWidth="1"/>
    <col min="13322" max="13568" width="9.140625" style="1"/>
    <col min="13569" max="13569" width="18.140625" style="1" customWidth="1"/>
    <col min="13570" max="13570" width="28.7109375" style="1" customWidth="1"/>
    <col min="13571" max="13571" width="0" style="1" hidden="1" customWidth="1"/>
    <col min="13572" max="13572" width="13.5703125" style="1" customWidth="1"/>
    <col min="13573" max="13573" width="10.28515625" style="1" customWidth="1"/>
    <col min="13574" max="13574" width="9.42578125" style="1" customWidth="1"/>
    <col min="13575" max="13575" width="9.85546875" style="1" customWidth="1"/>
    <col min="13576" max="13577" width="9.42578125" style="1" bestFit="1" customWidth="1"/>
    <col min="13578" max="13824" width="9.140625" style="1"/>
    <col min="13825" max="13825" width="18.140625" style="1" customWidth="1"/>
    <col min="13826" max="13826" width="28.7109375" style="1" customWidth="1"/>
    <col min="13827" max="13827" width="0" style="1" hidden="1" customWidth="1"/>
    <col min="13828" max="13828" width="13.5703125" style="1" customWidth="1"/>
    <col min="13829" max="13829" width="10.28515625" style="1" customWidth="1"/>
    <col min="13830" max="13830" width="9.42578125" style="1" customWidth="1"/>
    <col min="13831" max="13831" width="9.85546875" style="1" customWidth="1"/>
    <col min="13832" max="13833" width="9.42578125" style="1" bestFit="1" customWidth="1"/>
    <col min="13834" max="14080" width="9.140625" style="1"/>
    <col min="14081" max="14081" width="18.140625" style="1" customWidth="1"/>
    <col min="14082" max="14082" width="28.7109375" style="1" customWidth="1"/>
    <col min="14083" max="14083" width="0" style="1" hidden="1" customWidth="1"/>
    <col min="14084" max="14084" width="13.5703125" style="1" customWidth="1"/>
    <col min="14085" max="14085" width="10.28515625" style="1" customWidth="1"/>
    <col min="14086" max="14086" width="9.42578125" style="1" customWidth="1"/>
    <col min="14087" max="14087" width="9.85546875" style="1" customWidth="1"/>
    <col min="14088" max="14089" width="9.42578125" style="1" bestFit="1" customWidth="1"/>
    <col min="14090" max="14336" width="9.140625" style="1"/>
    <col min="14337" max="14337" width="18.140625" style="1" customWidth="1"/>
    <col min="14338" max="14338" width="28.7109375" style="1" customWidth="1"/>
    <col min="14339" max="14339" width="0" style="1" hidden="1" customWidth="1"/>
    <col min="14340" max="14340" width="13.5703125" style="1" customWidth="1"/>
    <col min="14341" max="14341" width="10.28515625" style="1" customWidth="1"/>
    <col min="14342" max="14342" width="9.42578125" style="1" customWidth="1"/>
    <col min="14343" max="14343" width="9.85546875" style="1" customWidth="1"/>
    <col min="14344" max="14345" width="9.42578125" style="1" bestFit="1" customWidth="1"/>
    <col min="14346" max="14592" width="9.140625" style="1"/>
    <col min="14593" max="14593" width="18.140625" style="1" customWidth="1"/>
    <col min="14594" max="14594" width="28.7109375" style="1" customWidth="1"/>
    <col min="14595" max="14595" width="0" style="1" hidden="1" customWidth="1"/>
    <col min="14596" max="14596" width="13.5703125" style="1" customWidth="1"/>
    <col min="14597" max="14597" width="10.28515625" style="1" customWidth="1"/>
    <col min="14598" max="14598" width="9.42578125" style="1" customWidth="1"/>
    <col min="14599" max="14599" width="9.85546875" style="1" customWidth="1"/>
    <col min="14600" max="14601" width="9.42578125" style="1" bestFit="1" customWidth="1"/>
    <col min="14602" max="14848" width="9.140625" style="1"/>
    <col min="14849" max="14849" width="18.140625" style="1" customWidth="1"/>
    <col min="14850" max="14850" width="28.7109375" style="1" customWidth="1"/>
    <col min="14851" max="14851" width="0" style="1" hidden="1" customWidth="1"/>
    <col min="14852" max="14852" width="13.5703125" style="1" customWidth="1"/>
    <col min="14853" max="14853" width="10.28515625" style="1" customWidth="1"/>
    <col min="14854" max="14854" width="9.42578125" style="1" customWidth="1"/>
    <col min="14855" max="14855" width="9.85546875" style="1" customWidth="1"/>
    <col min="14856" max="14857" width="9.42578125" style="1" bestFit="1" customWidth="1"/>
    <col min="14858" max="15104" width="9.140625" style="1"/>
    <col min="15105" max="15105" width="18.140625" style="1" customWidth="1"/>
    <col min="15106" max="15106" width="28.7109375" style="1" customWidth="1"/>
    <col min="15107" max="15107" width="0" style="1" hidden="1" customWidth="1"/>
    <col min="15108" max="15108" width="13.5703125" style="1" customWidth="1"/>
    <col min="15109" max="15109" width="10.28515625" style="1" customWidth="1"/>
    <col min="15110" max="15110" width="9.42578125" style="1" customWidth="1"/>
    <col min="15111" max="15111" width="9.85546875" style="1" customWidth="1"/>
    <col min="15112" max="15113" width="9.42578125" style="1" bestFit="1" customWidth="1"/>
    <col min="15114" max="15360" width="9.140625" style="1"/>
    <col min="15361" max="15361" width="18.140625" style="1" customWidth="1"/>
    <col min="15362" max="15362" width="28.7109375" style="1" customWidth="1"/>
    <col min="15363" max="15363" width="0" style="1" hidden="1" customWidth="1"/>
    <col min="15364" max="15364" width="13.5703125" style="1" customWidth="1"/>
    <col min="15365" max="15365" width="10.28515625" style="1" customWidth="1"/>
    <col min="15366" max="15366" width="9.42578125" style="1" customWidth="1"/>
    <col min="15367" max="15367" width="9.85546875" style="1" customWidth="1"/>
    <col min="15368" max="15369" width="9.42578125" style="1" bestFit="1" customWidth="1"/>
    <col min="15370" max="15616" width="9.140625" style="1"/>
    <col min="15617" max="15617" width="18.140625" style="1" customWidth="1"/>
    <col min="15618" max="15618" width="28.7109375" style="1" customWidth="1"/>
    <col min="15619" max="15619" width="0" style="1" hidden="1" customWidth="1"/>
    <col min="15620" max="15620" width="13.5703125" style="1" customWidth="1"/>
    <col min="15621" max="15621" width="10.28515625" style="1" customWidth="1"/>
    <col min="15622" max="15622" width="9.42578125" style="1" customWidth="1"/>
    <col min="15623" max="15623" width="9.85546875" style="1" customWidth="1"/>
    <col min="15624" max="15625" width="9.42578125" style="1" bestFit="1" customWidth="1"/>
    <col min="15626" max="15872" width="9.140625" style="1"/>
    <col min="15873" max="15873" width="18.140625" style="1" customWidth="1"/>
    <col min="15874" max="15874" width="28.7109375" style="1" customWidth="1"/>
    <col min="15875" max="15875" width="0" style="1" hidden="1" customWidth="1"/>
    <col min="15876" max="15876" width="13.5703125" style="1" customWidth="1"/>
    <col min="15877" max="15877" width="10.28515625" style="1" customWidth="1"/>
    <col min="15878" max="15878" width="9.42578125" style="1" customWidth="1"/>
    <col min="15879" max="15879" width="9.85546875" style="1" customWidth="1"/>
    <col min="15880" max="15881" width="9.42578125" style="1" bestFit="1" customWidth="1"/>
    <col min="15882" max="16128" width="9.140625" style="1"/>
    <col min="16129" max="16129" width="18.140625" style="1" customWidth="1"/>
    <col min="16130" max="16130" width="28.7109375" style="1" customWidth="1"/>
    <col min="16131" max="16131" width="0" style="1" hidden="1" customWidth="1"/>
    <col min="16132" max="16132" width="13.5703125" style="1" customWidth="1"/>
    <col min="16133" max="16133" width="10.28515625" style="1" customWidth="1"/>
    <col min="16134" max="16134" width="9.42578125" style="1" customWidth="1"/>
    <col min="16135" max="16135" width="9.85546875" style="1" customWidth="1"/>
    <col min="16136" max="16137" width="9.42578125" style="1" bestFit="1" customWidth="1"/>
    <col min="16138" max="16384" width="9.140625" style="1"/>
  </cols>
  <sheetData>
    <row r="1" spans="1:11" ht="12.75" hidden="1" customHeight="1"/>
    <row r="2" spans="1:11">
      <c r="A2" s="73" t="s">
        <v>0</v>
      </c>
      <c r="B2" s="73"/>
      <c r="C2" s="73"/>
      <c r="D2" s="73"/>
      <c r="E2" s="73"/>
      <c r="F2" s="73"/>
      <c r="G2" s="73"/>
    </row>
    <row r="3" spans="1:11">
      <c r="A3" s="74" t="s">
        <v>1</v>
      </c>
      <c r="B3" s="74"/>
      <c r="C3" s="74"/>
      <c r="D3" s="74"/>
      <c r="E3" s="74"/>
      <c r="F3" s="74"/>
      <c r="G3" s="74"/>
    </row>
    <row r="4" spans="1:11">
      <c r="A4" s="74" t="s">
        <v>2</v>
      </c>
      <c r="B4" s="74"/>
      <c r="C4" s="74"/>
      <c r="D4" s="74"/>
      <c r="E4" s="74"/>
      <c r="F4" s="74"/>
      <c r="G4" s="74"/>
    </row>
    <row r="5" spans="1:11" ht="9.75" customHeight="1" thickBot="1">
      <c r="G5" s="2"/>
    </row>
    <row r="6" spans="1:11" ht="18" customHeight="1" thickTop="1">
      <c r="A6" s="3"/>
      <c r="B6" s="75" t="s">
        <v>3</v>
      </c>
      <c r="C6" s="76"/>
      <c r="D6" s="76"/>
      <c r="E6" s="76"/>
      <c r="F6" s="77"/>
      <c r="G6" s="4"/>
    </row>
    <row r="7" spans="1:11" ht="10.5" customHeight="1" thickBot="1">
      <c r="B7" s="78"/>
      <c r="C7" s="79"/>
      <c r="D7" s="79"/>
      <c r="E7" s="79"/>
      <c r="F7" s="80"/>
      <c r="G7" s="4"/>
    </row>
    <row r="8" spans="1:11" ht="6" customHeight="1" thickTop="1">
      <c r="G8" s="2"/>
    </row>
    <row r="9" spans="1:11" ht="22.5" customHeight="1">
      <c r="A9" s="81" t="s">
        <v>4</v>
      </c>
      <c r="B9" s="82"/>
      <c r="C9" s="82"/>
      <c r="D9" s="82"/>
      <c r="E9" s="82"/>
      <c r="F9" s="82"/>
      <c r="G9" s="82"/>
    </row>
    <row r="10" spans="1:11" ht="2.25" hidden="1" customHeight="1">
      <c r="A10" s="82"/>
      <c r="B10" s="82"/>
      <c r="C10" s="82"/>
      <c r="D10" s="82"/>
      <c r="E10" s="82"/>
      <c r="F10" s="82"/>
      <c r="G10" s="82"/>
    </row>
    <row r="11" spans="1:11">
      <c r="G11" s="5" t="s">
        <v>5</v>
      </c>
    </row>
    <row r="12" spans="1:11" ht="3.75" customHeight="1">
      <c r="G12" s="6"/>
    </row>
    <row r="13" spans="1:11" ht="13.5" customHeight="1">
      <c r="A13" s="5"/>
      <c r="B13" s="5"/>
      <c r="C13" s="5"/>
      <c r="D13" s="7"/>
      <c r="E13" s="7"/>
      <c r="F13" s="7" t="s">
        <v>6</v>
      </c>
      <c r="G13" s="67">
        <v>4850</v>
      </c>
    </row>
    <row r="14" spans="1:11" ht="6.75" customHeight="1">
      <c r="A14" s="5"/>
      <c r="B14" s="5"/>
      <c r="C14" s="5"/>
      <c r="D14" s="5"/>
      <c r="E14" s="5"/>
      <c r="F14" s="5"/>
      <c r="G14" s="8"/>
    </row>
    <row r="15" spans="1:11" s="6" customFormat="1">
      <c r="E15" s="6" t="s">
        <v>7</v>
      </c>
      <c r="F15" s="6" t="s">
        <v>8</v>
      </c>
      <c r="G15" s="9"/>
    </row>
    <row r="16" spans="1:11">
      <c r="A16" s="10" t="s">
        <v>9</v>
      </c>
      <c r="B16" s="11"/>
      <c r="C16" s="11"/>
      <c r="D16" s="12"/>
      <c r="E16" s="12"/>
      <c r="F16" s="13"/>
      <c r="G16" s="2"/>
      <c r="I16" s="14"/>
      <c r="K16" s="14"/>
    </row>
    <row r="17" spans="1:9">
      <c r="A17" s="15" t="s">
        <v>10</v>
      </c>
      <c r="B17" s="16"/>
      <c r="C17" s="17"/>
      <c r="D17" s="18" t="s">
        <v>11</v>
      </c>
      <c r="E17" s="19">
        <v>253</v>
      </c>
      <c r="F17" s="20">
        <v>41</v>
      </c>
      <c r="G17" s="19">
        <f t="shared" ref="G17:G22" si="0">SUM(E17:F17)</f>
        <v>294</v>
      </c>
    </row>
    <row r="18" spans="1:9">
      <c r="A18" s="21" t="s">
        <v>12</v>
      </c>
      <c r="B18" s="22"/>
      <c r="C18" s="22"/>
      <c r="D18" s="23"/>
      <c r="E18" s="19">
        <v>2726</v>
      </c>
      <c r="F18" s="20">
        <v>12</v>
      </c>
      <c r="G18" s="19">
        <f t="shared" si="0"/>
        <v>2738</v>
      </c>
    </row>
    <row r="19" spans="1:9">
      <c r="A19" s="21" t="s">
        <v>13</v>
      </c>
      <c r="B19" s="22"/>
      <c r="C19" s="22"/>
      <c r="D19" s="24"/>
      <c r="E19" s="19">
        <v>7</v>
      </c>
      <c r="F19" s="20">
        <v>5</v>
      </c>
      <c r="G19" s="19">
        <f t="shared" si="0"/>
        <v>12</v>
      </c>
    </row>
    <row r="20" spans="1:9">
      <c r="A20" s="21" t="s">
        <v>14</v>
      </c>
      <c r="B20" s="22"/>
      <c r="C20" s="22"/>
      <c r="D20" s="24"/>
      <c r="E20" s="19">
        <v>0</v>
      </c>
      <c r="F20" s="25">
        <v>0</v>
      </c>
      <c r="G20" s="19">
        <f t="shared" si="0"/>
        <v>0</v>
      </c>
      <c r="I20"/>
    </row>
    <row r="21" spans="1:9">
      <c r="A21" s="21" t="s">
        <v>15</v>
      </c>
      <c r="B21" s="22"/>
      <c r="C21" s="22"/>
      <c r="D21" s="24"/>
      <c r="E21" s="19">
        <v>137</v>
      </c>
      <c r="F21" s="25">
        <v>3</v>
      </c>
      <c r="G21" s="19">
        <f t="shared" si="0"/>
        <v>140</v>
      </c>
    </row>
    <row r="22" spans="1:9">
      <c r="A22" s="21" t="s">
        <v>16</v>
      </c>
      <c r="B22" s="72" t="s">
        <v>17</v>
      </c>
      <c r="C22" s="72"/>
      <c r="D22" s="72"/>
      <c r="E22" s="31">
        <v>417</v>
      </c>
      <c r="F22" s="27">
        <v>0</v>
      </c>
      <c r="G22" s="19">
        <f>SUM(E22:F22)</f>
        <v>417</v>
      </c>
    </row>
    <row r="23" spans="1:9" s="35" customFormat="1">
      <c r="A23" s="28" t="s">
        <v>18</v>
      </c>
      <c r="B23" s="29"/>
      <c r="C23" s="29"/>
      <c r="D23" s="30"/>
      <c r="E23" s="31">
        <f>SUM(E17:E22)</f>
        <v>3540</v>
      </c>
      <c r="F23" s="32">
        <f>SUM(F17:F22)</f>
        <v>61</v>
      </c>
      <c r="G23" s="33">
        <f>SUM(G17:G22)</f>
        <v>3601</v>
      </c>
      <c r="H23" s="34"/>
      <c r="I23" s="34"/>
    </row>
    <row r="24" spans="1:9" s="35" customFormat="1" ht="10.5" customHeight="1">
      <c r="D24" s="36"/>
      <c r="E24" s="37"/>
      <c r="F24" s="37"/>
      <c r="G24" s="37"/>
      <c r="H24" s="34"/>
      <c r="I24" s="34"/>
    </row>
    <row r="25" spans="1:9" ht="12.75" customHeight="1">
      <c r="A25" s="38" t="s">
        <v>19</v>
      </c>
      <c r="B25" s="35"/>
      <c r="C25" s="35"/>
      <c r="D25" s="39"/>
      <c r="E25" s="40"/>
      <c r="F25" s="41"/>
      <c r="G25" s="19">
        <v>118</v>
      </c>
    </row>
    <row r="26" spans="1:9" ht="12.75" customHeight="1">
      <c r="A26" s="38" t="s">
        <v>20</v>
      </c>
      <c r="B26" s="35"/>
      <c r="C26" s="35"/>
      <c r="D26" s="39"/>
      <c r="E26" s="42"/>
      <c r="F26" s="41"/>
      <c r="G26" s="19">
        <v>35</v>
      </c>
    </row>
    <row r="27" spans="1:9" ht="12.75" customHeight="1">
      <c r="A27" s="38" t="s">
        <v>21</v>
      </c>
      <c r="B27" s="35"/>
      <c r="C27" s="43"/>
      <c r="D27" s="68">
        <v>512</v>
      </c>
      <c r="E27" s="42" t="s">
        <v>22</v>
      </c>
      <c r="F27" s="69">
        <v>2</v>
      </c>
      <c r="G27" s="19"/>
      <c r="H27" s="44"/>
    </row>
    <row r="28" spans="1:9" ht="10.5" customHeight="1">
      <c r="A28" s="38"/>
      <c r="D28" s="45"/>
      <c r="E28" s="42"/>
      <c r="F28" s="42"/>
      <c r="G28" s="19"/>
    </row>
    <row r="29" spans="1:9">
      <c r="A29" s="70" t="s">
        <v>23</v>
      </c>
      <c r="B29" s="11"/>
      <c r="C29" s="11"/>
      <c r="D29" s="46"/>
      <c r="E29" s="46"/>
      <c r="F29" s="47"/>
      <c r="G29" s="19"/>
    </row>
    <row r="30" spans="1:9">
      <c r="A30" s="15" t="s">
        <v>24</v>
      </c>
      <c r="B30" s="16"/>
      <c r="C30" s="48"/>
      <c r="D30" s="23"/>
      <c r="E30" s="40">
        <v>11</v>
      </c>
      <c r="F30" s="20">
        <v>0</v>
      </c>
      <c r="G30" s="19">
        <f>SUM(E30:F30)</f>
        <v>11</v>
      </c>
    </row>
    <row r="31" spans="1:9">
      <c r="A31" s="21" t="s">
        <v>25</v>
      </c>
      <c r="B31" s="22"/>
      <c r="C31" s="49"/>
      <c r="D31" s="24"/>
      <c r="E31" s="40">
        <v>71</v>
      </c>
      <c r="F31" s="20">
        <v>0</v>
      </c>
      <c r="G31" s="19">
        <f>SUM(E31:F31)</f>
        <v>71</v>
      </c>
    </row>
    <row r="32" spans="1:9">
      <c r="A32" s="21" t="s">
        <v>26</v>
      </c>
      <c r="B32" s="22"/>
      <c r="C32" s="49"/>
      <c r="D32" s="24"/>
      <c r="E32" s="50">
        <v>0</v>
      </c>
      <c r="F32" s="51">
        <v>0</v>
      </c>
      <c r="G32" s="19">
        <f>SUM(E32:F32)</f>
        <v>0</v>
      </c>
    </row>
    <row r="33" spans="1:15" hidden="1">
      <c r="A33" s="21" t="s">
        <v>27</v>
      </c>
      <c r="B33" s="22"/>
      <c r="C33" s="49"/>
      <c r="D33" s="24"/>
      <c r="E33" s="26">
        <v>0</v>
      </c>
      <c r="F33" s="51">
        <v>0</v>
      </c>
      <c r="G33" s="19">
        <f>SUM(E33:F33)</f>
        <v>0</v>
      </c>
    </row>
    <row r="34" spans="1:15">
      <c r="A34" s="28" t="s">
        <v>28</v>
      </c>
      <c r="B34" s="29"/>
      <c r="C34" s="29"/>
      <c r="D34" s="52"/>
      <c r="E34" s="31">
        <f>SUM(E30:E33)</f>
        <v>82</v>
      </c>
      <c r="F34" s="32">
        <f>SUM(F30:F33)</f>
        <v>0</v>
      </c>
      <c r="G34" s="37">
        <f>SUM(G30:G33)</f>
        <v>82</v>
      </c>
      <c r="H34" s="44"/>
      <c r="I34" s="44"/>
    </row>
    <row r="35" spans="1:15" ht="8.25" customHeight="1">
      <c r="A35" s="35"/>
      <c r="B35" s="35"/>
      <c r="C35" s="35"/>
      <c r="D35" s="39"/>
      <c r="E35" s="37"/>
      <c r="F35" s="37"/>
      <c r="G35" s="37"/>
      <c r="H35" s="44"/>
      <c r="I35" s="44"/>
    </row>
    <row r="36" spans="1:15" s="35" customFormat="1">
      <c r="A36" s="29" t="s">
        <v>29</v>
      </c>
      <c r="B36" s="29"/>
      <c r="C36" s="29"/>
      <c r="D36" s="52"/>
      <c r="E36" s="31">
        <f>SUM(E23,E34)</f>
        <v>3622</v>
      </c>
      <c r="F36" s="31">
        <f>SUM(F23,F34)</f>
        <v>61</v>
      </c>
      <c r="G36" s="31">
        <f>SUM(G23,G34)</f>
        <v>3683</v>
      </c>
      <c r="H36" s="34"/>
      <c r="I36" s="34"/>
    </row>
    <row r="37" spans="1:15" ht="8.25" customHeight="1">
      <c r="C37" s="35"/>
      <c r="D37" s="39"/>
      <c r="E37" s="19"/>
      <c r="F37" s="19"/>
      <c r="G37" s="19"/>
    </row>
    <row r="38" spans="1:15">
      <c r="A38" s="70" t="s">
        <v>30</v>
      </c>
      <c r="B38" s="11"/>
      <c r="C38" s="11"/>
      <c r="D38" s="53"/>
      <c r="E38" s="46"/>
      <c r="F38" s="47"/>
      <c r="G38" s="19"/>
    </row>
    <row r="39" spans="1:15">
      <c r="A39" s="15" t="s">
        <v>31</v>
      </c>
      <c r="B39" s="16"/>
      <c r="C39" s="48"/>
      <c r="D39" s="23"/>
      <c r="E39" s="40">
        <v>288</v>
      </c>
      <c r="F39" s="20">
        <v>0</v>
      </c>
      <c r="G39" s="19">
        <f>SUM(E39:F39)</f>
        <v>288</v>
      </c>
    </row>
    <row r="40" spans="1:15">
      <c r="A40" s="21" t="s">
        <v>32</v>
      </c>
      <c r="B40" s="22"/>
      <c r="C40" s="49"/>
      <c r="D40" s="24"/>
      <c r="E40" s="40">
        <v>20</v>
      </c>
      <c r="F40" s="25">
        <v>0</v>
      </c>
      <c r="G40" s="19">
        <f>SUM(E40:F40)</f>
        <v>20</v>
      </c>
    </row>
    <row r="41" spans="1:15">
      <c r="A41" s="21" t="s">
        <v>33</v>
      </c>
      <c r="B41" s="22"/>
      <c r="C41" s="49"/>
      <c r="D41" s="24"/>
      <c r="E41" s="50">
        <v>0</v>
      </c>
      <c r="F41" s="27">
        <v>0</v>
      </c>
      <c r="G41" s="19">
        <f>SUM(E41:F41)</f>
        <v>0</v>
      </c>
    </row>
    <row r="42" spans="1:15" s="35" customFormat="1">
      <c r="A42" s="28" t="s">
        <v>34</v>
      </c>
      <c r="B42" s="29"/>
      <c r="C42" s="29"/>
      <c r="D42" s="30"/>
      <c r="E42" s="31">
        <f>SUM(E39:E41)</f>
        <v>308</v>
      </c>
      <c r="F42" s="54">
        <f>SUM(F39:F41)</f>
        <v>0</v>
      </c>
      <c r="G42" s="31">
        <f>SUM(G39:G41)</f>
        <v>308</v>
      </c>
      <c r="H42" s="34"/>
      <c r="I42" s="34"/>
    </row>
    <row r="43" spans="1:15" ht="8.25" customHeight="1">
      <c r="C43" s="35"/>
      <c r="D43" s="45"/>
      <c r="E43" s="42"/>
      <c r="F43" s="42"/>
      <c r="G43" s="42"/>
    </row>
    <row r="44" spans="1:15">
      <c r="A44" s="10" t="s">
        <v>35</v>
      </c>
      <c r="B44" s="11"/>
      <c r="C44" s="11"/>
      <c r="D44" s="46"/>
      <c r="E44" s="46"/>
      <c r="F44" s="47"/>
      <c r="G44" s="19"/>
    </row>
    <row r="45" spans="1:15">
      <c r="A45" s="15" t="s">
        <v>36</v>
      </c>
      <c r="B45" s="16"/>
      <c r="C45" s="16"/>
      <c r="D45" s="23"/>
      <c r="E45" s="19">
        <v>124</v>
      </c>
      <c r="F45" s="20">
        <v>0</v>
      </c>
      <c r="G45" s="19">
        <f>SUM(E45:F45)</f>
        <v>124</v>
      </c>
    </row>
    <row r="46" spans="1:15">
      <c r="A46" s="21" t="s">
        <v>37</v>
      </c>
      <c r="B46" s="22"/>
      <c r="C46" s="22"/>
      <c r="D46" s="24"/>
      <c r="E46" s="19">
        <v>120</v>
      </c>
      <c r="F46" s="20">
        <v>65</v>
      </c>
      <c r="G46" s="19">
        <f>SUM(E46:F46)</f>
        <v>185</v>
      </c>
      <c r="O46" s="39"/>
    </row>
    <row r="47" spans="1:15">
      <c r="A47" s="21" t="s">
        <v>38</v>
      </c>
      <c r="B47" s="22"/>
      <c r="C47" s="22"/>
      <c r="D47" s="24"/>
      <c r="E47" s="19">
        <v>2</v>
      </c>
      <c r="F47" s="20">
        <v>6</v>
      </c>
      <c r="G47" s="19">
        <f>SUM(E47:F47)</f>
        <v>8</v>
      </c>
    </row>
    <row r="48" spans="1:15">
      <c r="A48" s="71" t="s">
        <v>39</v>
      </c>
      <c r="B48" s="22"/>
      <c r="C48" s="22"/>
      <c r="D48" s="24"/>
      <c r="E48" s="50">
        <v>10</v>
      </c>
      <c r="F48" s="27">
        <v>0</v>
      </c>
      <c r="G48" s="19">
        <f>SUM(E48:F48)</f>
        <v>10</v>
      </c>
    </row>
    <row r="49" spans="1:9" s="35" customFormat="1">
      <c r="A49" s="28" t="s">
        <v>40</v>
      </c>
      <c r="B49" s="29"/>
      <c r="C49" s="29"/>
      <c r="D49" s="30"/>
      <c r="E49" s="31">
        <f>SUM(E45:E48)</f>
        <v>256</v>
      </c>
      <c r="F49" s="32">
        <f>SUM(F45:F48)</f>
        <v>71</v>
      </c>
      <c r="G49" s="33">
        <f>SUM(G45:G48)</f>
        <v>327</v>
      </c>
      <c r="H49" s="2"/>
      <c r="I49" s="34"/>
    </row>
    <row r="50" spans="1:9" s="35" customFormat="1" ht="9" customHeight="1">
      <c r="D50" s="36"/>
      <c r="E50" s="37"/>
      <c r="F50" s="37"/>
      <c r="G50" s="37"/>
      <c r="H50" s="2"/>
      <c r="I50" s="34"/>
    </row>
    <row r="51" spans="1:9">
      <c r="A51" s="35" t="s">
        <v>41</v>
      </c>
      <c r="B51" s="35"/>
      <c r="C51" s="35"/>
      <c r="D51" s="39"/>
      <c r="E51" s="55">
        <v>56</v>
      </c>
      <c r="F51" s="55"/>
      <c r="G51" s="56"/>
      <c r="H51" s="44"/>
    </row>
    <row r="52" spans="1:9">
      <c r="A52" s="29" t="s">
        <v>42</v>
      </c>
      <c r="B52" s="29"/>
      <c r="C52" s="29"/>
      <c r="D52" s="52"/>
      <c r="E52" s="57">
        <f>SUM(E36,E42,E49,E51)</f>
        <v>4242</v>
      </c>
      <c r="F52" s="57">
        <f>SUM(F51,F49,F36)</f>
        <v>132</v>
      </c>
      <c r="G52" s="57">
        <f>SUM(G36,G42,G49)+E51</f>
        <v>4374</v>
      </c>
      <c r="H52" s="2"/>
    </row>
    <row r="53" spans="1:9">
      <c r="A53" s="35"/>
      <c r="B53" s="35"/>
      <c r="C53" s="35"/>
      <c r="D53" s="39"/>
      <c r="E53" s="56"/>
      <c r="F53" s="56"/>
      <c r="G53" s="56"/>
      <c r="H53" s="2"/>
    </row>
    <row r="54" spans="1:9">
      <c r="B54" s="35"/>
      <c r="C54" s="35"/>
      <c r="D54" s="58"/>
      <c r="E54" s="59"/>
      <c r="F54" s="7" t="s">
        <v>43</v>
      </c>
      <c r="G54" s="57">
        <f>G13-G52</f>
        <v>476</v>
      </c>
      <c r="I54" s="35"/>
    </row>
    <row r="55" spans="1:9">
      <c r="B55" s="35"/>
      <c r="C55" s="35"/>
      <c r="E55" s="60"/>
      <c r="F55" s="5"/>
      <c r="G55" s="61"/>
    </row>
    <row r="56" spans="1:9" ht="6.75" customHeight="1"/>
    <row r="57" spans="1:9">
      <c r="E57" s="1" t="s">
        <v>44</v>
      </c>
      <c r="I57" s="62"/>
    </row>
    <row r="59" spans="1:9" ht="14.25" customHeight="1"/>
    <row r="60" spans="1:9">
      <c r="A60" s="63" t="s">
        <v>45</v>
      </c>
      <c r="B60" s="64" t="s">
        <v>46</v>
      </c>
      <c r="E60" s="1" t="s">
        <v>47</v>
      </c>
    </row>
    <row r="61" spans="1:9">
      <c r="B61" s="65" t="s">
        <v>48</v>
      </c>
      <c r="E61" s="1" t="s">
        <v>49</v>
      </c>
    </row>
    <row r="62" spans="1:9">
      <c r="E62" s="66"/>
    </row>
  </sheetData>
  <mergeCells count="6">
    <mergeCell ref="B22:D22"/>
    <mergeCell ref="A2:G2"/>
    <mergeCell ref="A3:G3"/>
    <mergeCell ref="A4:G4"/>
    <mergeCell ref="B6:F7"/>
    <mergeCell ref="A9:G10"/>
  </mergeCells>
  <printOptions horizontalCentered="1"/>
  <pageMargins left="0.5" right="0.5" top="0.5" bottom="0.25" header="0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SEPT2025-SAMPLE PRINTOUT</vt:lpstr>
      <vt:lpstr>'SEPT2025-SAMPLE PRINTOUT'!Print_Area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Circulation</dc:creator>
  <cp:lastModifiedBy>Josh</cp:lastModifiedBy>
  <dcterms:created xsi:type="dcterms:W3CDTF">2025-10-13T07:52:50Z</dcterms:created>
  <dcterms:modified xsi:type="dcterms:W3CDTF">2025-10-15T04:19:23Z</dcterms:modified>
</cp:coreProperties>
</file>
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240" yWindow="30" windowWidth="14220" windowHeight="11640" tabRatio="380" firstSheet="2" activeTab="2"/>
  </bookViews>
  <sheets>
    <sheet name="HRG Campaign 2016" sheetId="7" r:id="rId1"/>
    <sheet name="WMM Monthly Distribution" sheetId="1" r:id="rId2"/>
    <sheet name="HRG Campaign (New)" sheetId="3" r:id="rId3"/>
  </sheets>
  <definedNames>
    <definedName name="_xlnm.Print_Area" localSheetId="2">'HRG Campaign (New)'!$F:$P</definedName>
    <definedName name="_xlnm.Print_Area" localSheetId="0">'HRG Campaign 2016'!$F:$P</definedName>
    <definedName name="_xlnm.Print_Area" localSheetId="1">'WMM Monthly Distribution'!$D:$J</definedName>
  </definedNames>
  <calcPr calcId="125725"/>
</workbook>
</file>

<file path=xl/calcChain.xml><?xml version="1.0" encoding="utf-8"?>
<calcChain xmlns="http://schemas.openxmlformats.org/spreadsheetml/2006/main">
  <c r="F3" i="7"/>
  <c r="B5"/>
  <c r="L25" s="1"/>
  <c r="B6"/>
  <c r="F43" s="1"/>
  <c r="F8"/>
  <c r="G15"/>
  <c r="J15"/>
  <c r="F19"/>
  <c r="F25"/>
  <c r="F36"/>
  <c r="F8" i="3"/>
  <c r="B6"/>
  <c r="F38" s="1"/>
  <c r="B5"/>
  <c r="L19" s="1"/>
  <c r="F25"/>
  <c r="F19"/>
  <c r="G15"/>
  <c r="J15"/>
  <c r="F3"/>
  <c r="F36"/>
  <c r="B55" i="1"/>
  <c r="B54"/>
  <c r="B53"/>
  <c r="B52"/>
  <c r="B51"/>
  <c r="B16"/>
  <c r="B17"/>
  <c r="B18"/>
  <c r="B15"/>
  <c r="B14"/>
  <c r="I31"/>
  <c r="I35" s="1"/>
  <c r="I32"/>
  <c r="I33"/>
  <c r="I40"/>
  <c r="I44" s="1"/>
  <c r="I41"/>
  <c r="I42"/>
  <c r="H35"/>
  <c r="H44"/>
  <c r="G35"/>
  <c r="G44"/>
  <c r="A6"/>
  <c r="A27"/>
  <c r="A24"/>
  <c r="D9"/>
  <c r="C21" i="3"/>
  <c r="A28" i="1"/>
  <c r="F14"/>
  <c r="C21" i="7"/>
  <c r="C27" i="3"/>
  <c r="A49" i="7"/>
  <c r="F21" i="1"/>
  <c r="H55"/>
  <c r="G55"/>
  <c r="D3" i="3"/>
  <c r="F15" i="1"/>
  <c r="C4" i="3"/>
  <c r="D3" i="7"/>
  <c r="F49"/>
  <c r="B50" i="1"/>
  <c r="F17"/>
  <c r="I26"/>
  <c r="C4" i="7"/>
  <c r="C3"/>
  <c r="H21" i="1"/>
  <c r="C33" i="7"/>
  <c r="B11" i="1"/>
  <c r="D21" i="7"/>
  <c r="C3" i="3"/>
  <c r="C32"/>
  <c r="A67" i="1"/>
  <c r="C33" i="3"/>
  <c r="H58" i="1"/>
  <c r="D27" i="3"/>
  <c r="G58" i="1"/>
  <c r="G21"/>
  <c r="G18"/>
  <c r="C26" i="7"/>
  <c r="A23" i="1"/>
  <c r="B48"/>
  <c r="F49" i="3"/>
  <c r="C20" i="7"/>
  <c r="D21" i="3"/>
  <c r="B24" i="1"/>
  <c r="D5" i="7"/>
  <c r="F16" i="1"/>
  <c r="D26" i="3"/>
  <c r="H54" i="1"/>
  <c r="C32" i="7"/>
  <c r="G54" i="1"/>
  <c r="C27" i="7"/>
  <c r="D27"/>
  <c r="B10" i="1"/>
  <c r="I25"/>
  <c r="D5" i="3"/>
  <c r="H18" i="1"/>
  <c r="D20" i="3"/>
  <c r="H51" i="1"/>
  <c r="C42" i="3"/>
  <c r="A49"/>
  <c r="F18" i="1"/>
  <c r="B27"/>
  <c r="A66"/>
  <c r="C42" i="7"/>
  <c r="C40"/>
  <c r="D6" i="3"/>
  <c r="C26"/>
  <c r="C40"/>
  <c r="D26" i="7"/>
  <c r="D6"/>
  <c r="D20"/>
  <c r="C5" i="3"/>
  <c r="C5" i="7"/>
  <c r="C20" i="3"/>
  <c r="G14" i="1"/>
  <c r="H15"/>
  <c r="G51"/>
  <c r="G17"/>
  <c r="G16"/>
  <c r="G52"/>
  <c r="H53"/>
  <c r="F43" i="3" l="1"/>
  <c r="L25"/>
  <c r="L19" i="7"/>
  <c r="F31"/>
  <c r="F31" i="3"/>
  <c r="F38" i="7"/>
  <c r="G56" i="1"/>
  <c r="I56" s="1"/>
  <c r="I58"/>
  <c r="I16"/>
  <c r="H56"/>
  <c r="I52"/>
  <c r="I17"/>
  <c r="I18"/>
  <c r="I51"/>
  <c r="I14"/>
  <c r="I55"/>
  <c r="F19"/>
  <c r="H47"/>
  <c r="H62" s="1"/>
  <c r="I54"/>
  <c r="G47"/>
  <c r="G62" s="1"/>
  <c r="G19"/>
  <c r="I19" s="1"/>
  <c r="I21"/>
  <c r="I47" s="1"/>
  <c r="I62" s="1"/>
  <c r="I64" s="1"/>
  <c r="A25"/>
  <c r="A26"/>
  <c r="G27" i="7"/>
  <c r="M27" i="3"/>
  <c r="J26"/>
  <c r="J27" i="7"/>
  <c r="A48" i="1"/>
  <c r="J33" i="7"/>
  <c r="G32" i="3"/>
  <c r="G27"/>
  <c r="P21"/>
  <c r="P26" i="7"/>
  <c r="J32" i="3"/>
  <c r="M21" i="7"/>
  <c r="G33"/>
  <c r="G42" i="3"/>
  <c r="P27"/>
  <c r="P27" i="7"/>
  <c r="G53" i="1"/>
  <c r="H16"/>
  <c r="P20" i="7"/>
  <c r="J21" i="3"/>
  <c r="G40" i="7"/>
  <c r="J20" i="3"/>
  <c r="P21" i="7"/>
  <c r="M26" i="3"/>
  <c r="M21"/>
  <c r="P20"/>
  <c r="J32" i="7"/>
  <c r="J20"/>
  <c r="J26"/>
  <c r="H14" i="1"/>
  <c r="A10"/>
  <c r="H17"/>
  <c r="M20" i="3"/>
  <c r="G20"/>
  <c r="J33"/>
  <c r="G15" i="1"/>
  <c r="G21" i="3"/>
  <c r="M26" i="7"/>
  <c r="M27"/>
  <c r="G26" i="3"/>
  <c r="G40"/>
  <c r="G20" i="7"/>
  <c r="H52" i="1"/>
  <c r="M20" i="7"/>
  <c r="P26" i="3"/>
  <c r="J27"/>
  <c r="G21" i="7"/>
  <c r="B25" i="1"/>
  <c r="G42" i="7"/>
  <c r="G33" i="3"/>
  <c r="G32" i="7"/>
  <c r="J21"/>
  <c r="G26"/>
  <c r="B26" i="1"/>
  <c r="I15" l="1"/>
  <c r="H19"/>
  <c r="I53"/>
  <c r="J28" i="3"/>
  <c r="J28" i="7"/>
  <c r="A11" i="1"/>
  <c r="P28" i="3"/>
  <c r="P22" i="7"/>
  <c r="P28"/>
  <c r="P22" i="3"/>
  <c r="J34" i="7"/>
  <c r="J22"/>
  <c r="J34" i="3"/>
  <c r="J22"/>
  <c r="J36" i="7" l="1"/>
  <c r="L38" s="1"/>
  <c r="J36" i="3"/>
  <c r="L38" s="1"/>
</calcChain>
</file>

<file path=xl/comments1.xml><?xml version="1.0" encoding="utf-8"?>
<comments xmlns="http://schemas.openxmlformats.org/spreadsheetml/2006/main">
  <authors>
    <author>ROLEE</author>
  </authors>
  <commentList>
    <comment ref="A3" authorId="0">
      <text>
        <r>
          <rPr>
            <b/>
            <sz val="8"/>
            <color indexed="81"/>
            <rFont val="Tahoma"/>
          </rPr>
          <t>ROLEE:</t>
        </r>
        <r>
          <rPr>
            <sz val="8"/>
            <color indexed="81"/>
            <rFont val="Tahoma"/>
          </rPr>
          <t xml:space="preserve">
Report Date</t>
        </r>
      </text>
    </comment>
    <comment ref="B3" authorId="0">
      <text>
        <r>
          <rPr>
            <b/>
            <sz val="8"/>
            <color indexed="81"/>
            <rFont val="Tahoma"/>
          </rPr>
          <t>ROLEE:</t>
        </r>
        <r>
          <rPr>
            <sz val="8"/>
            <color indexed="81"/>
            <rFont val="Tahoma"/>
          </rPr>
          <t xml:space="preserve">
Date Added/Posted Cut-Off</t>
        </r>
      </text>
    </comment>
    <comment ref="A5" authorId="0">
      <text>
        <r>
          <rPr>
            <b/>
            <sz val="8"/>
            <color indexed="81"/>
            <rFont val="Tahoma"/>
          </rPr>
          <t>ROLEE:</t>
        </r>
        <r>
          <rPr>
            <sz val="8"/>
            <color indexed="81"/>
            <rFont val="Tahoma"/>
          </rPr>
          <t xml:space="preserve">
Campaign Date (Current Year)</t>
        </r>
      </text>
    </comment>
    <comment ref="B5" authorId="0">
      <text>
        <r>
          <rPr>
            <b/>
            <sz val="8"/>
            <color indexed="81"/>
            <rFont val="Tahoma"/>
          </rPr>
          <t>ROLEE:</t>
        </r>
        <r>
          <rPr>
            <sz val="8"/>
            <color indexed="81"/>
            <rFont val="Tahoma"/>
          </rPr>
          <t xml:space="preserve">
Campaign Date (Previous Date) - Automatic</t>
        </r>
      </text>
    </comment>
    <comment ref="B6" authorId="0">
      <text>
        <r>
          <rPr>
            <b/>
            <sz val="8"/>
            <color indexed="81"/>
            <rFont val="Tahoma"/>
          </rPr>
          <t>ROLEE:</t>
        </r>
        <r>
          <rPr>
            <sz val="8"/>
            <color indexed="81"/>
            <rFont val="Tahoma"/>
          </rPr>
          <t xml:space="preserve">
Campaign Date (Next Year) - Automatic</t>
        </r>
      </text>
    </comment>
  </commentList>
</comments>
</file>

<file path=xl/comments2.xml><?xml version="1.0" encoding="utf-8"?>
<comments xmlns="http://schemas.openxmlformats.org/spreadsheetml/2006/main">
  <authors>
    <author>ROLEE</author>
  </authors>
  <commentList>
    <comment ref="A1" authorId="0">
      <text>
        <r>
          <rPr>
            <b/>
            <sz val="8"/>
            <color indexed="81"/>
            <rFont val="Tahoma"/>
          </rPr>
          <t>ROLEE:</t>
        </r>
        <r>
          <rPr>
            <sz val="8"/>
            <color indexed="81"/>
            <rFont val="Tahoma"/>
          </rPr>
          <t xml:space="preserve">
Cells under these columns are for set-up only and will not be included during printing.</t>
        </r>
      </text>
    </comment>
    <comment ref="A2" authorId="0">
      <text>
        <r>
          <rPr>
            <b/>
            <sz val="8"/>
            <color indexed="81"/>
            <rFont val="Tahoma"/>
          </rPr>
          <t>ROLEE:</t>
        </r>
        <r>
          <rPr>
            <sz val="8"/>
            <color indexed="81"/>
            <rFont val="Tahoma"/>
          </rPr>
          <t xml:space="preserve">
Report Date</t>
        </r>
      </text>
    </comment>
    <comment ref="A3" authorId="0">
      <text>
        <r>
          <rPr>
            <b/>
            <sz val="8"/>
            <color indexed="81"/>
            <rFont val="Tahoma"/>
          </rPr>
          <t>ROLEE:</t>
        </r>
        <r>
          <rPr>
            <sz val="8"/>
            <color indexed="81"/>
            <rFont val="Tahoma"/>
          </rPr>
          <t xml:space="preserve">
Cut-Off Date (Date Added/Encoded) leave as blank for no cut-off date.</t>
        </r>
      </text>
    </comment>
    <comment ref="A6" authorId="0">
      <text>
        <r>
          <rPr>
            <b/>
            <sz val="8"/>
            <color indexed="81"/>
            <rFont val="Tahoma"/>
          </rPr>
          <t>ROLEE:</t>
        </r>
        <r>
          <rPr>
            <sz val="8"/>
            <color indexed="81"/>
            <rFont val="Tahoma"/>
          </rPr>
          <t xml:space="preserve">
Start Date (Automatic) - April 1 if April or May Report Date</t>
        </r>
      </text>
    </comment>
    <comment ref="A19" authorId="0">
      <text>
        <r>
          <rPr>
            <b/>
            <sz val="8"/>
            <color indexed="81"/>
            <rFont val="Tahoma"/>
          </rPr>
          <t>ROLEE:</t>
        </r>
        <r>
          <rPr>
            <sz val="8"/>
            <color indexed="81"/>
            <rFont val="Tahoma"/>
          </rPr>
          <t xml:space="preserve">
No Classifications</t>
        </r>
      </text>
    </comment>
  </commentList>
</comments>
</file>

<file path=xl/comments3.xml><?xml version="1.0" encoding="utf-8"?>
<comments xmlns="http://schemas.openxmlformats.org/spreadsheetml/2006/main">
  <authors>
    <author>ROLEE</author>
  </authors>
  <commentList>
    <comment ref="A3" authorId="0">
      <text>
        <r>
          <rPr>
            <b/>
            <sz val="8"/>
            <color indexed="81"/>
            <rFont val="Tahoma"/>
          </rPr>
          <t>ROLEE:</t>
        </r>
        <r>
          <rPr>
            <sz val="8"/>
            <color indexed="81"/>
            <rFont val="Tahoma"/>
          </rPr>
          <t xml:space="preserve">
Report Date</t>
        </r>
      </text>
    </comment>
    <comment ref="B3" authorId="0">
      <text>
        <r>
          <rPr>
            <b/>
            <sz val="8"/>
            <color indexed="81"/>
            <rFont val="Tahoma"/>
          </rPr>
          <t>ROLEE:</t>
        </r>
        <r>
          <rPr>
            <sz val="8"/>
            <color indexed="81"/>
            <rFont val="Tahoma"/>
          </rPr>
          <t xml:space="preserve">
Date Added/Posted Cut-Off</t>
        </r>
      </text>
    </comment>
    <comment ref="A5" authorId="0">
      <text>
        <r>
          <rPr>
            <b/>
            <sz val="8"/>
            <color indexed="81"/>
            <rFont val="Tahoma"/>
          </rPr>
          <t>ROLEE:</t>
        </r>
        <r>
          <rPr>
            <sz val="8"/>
            <color indexed="81"/>
            <rFont val="Tahoma"/>
          </rPr>
          <t xml:space="preserve">
Campaign Date (Current Year)</t>
        </r>
      </text>
    </comment>
    <comment ref="B5" authorId="0">
      <text>
        <r>
          <rPr>
            <b/>
            <sz val="8"/>
            <color indexed="81"/>
            <rFont val="Tahoma"/>
          </rPr>
          <t>ROLEE:</t>
        </r>
        <r>
          <rPr>
            <sz val="8"/>
            <color indexed="81"/>
            <rFont val="Tahoma"/>
          </rPr>
          <t xml:space="preserve">
Campaign Date (Previous Date) - Automatic</t>
        </r>
      </text>
    </comment>
    <comment ref="B6" authorId="0">
      <text>
        <r>
          <rPr>
            <b/>
            <sz val="8"/>
            <color indexed="81"/>
            <rFont val="Tahoma"/>
          </rPr>
          <t>ROLEE:</t>
        </r>
        <r>
          <rPr>
            <sz val="8"/>
            <color indexed="81"/>
            <rFont val="Tahoma"/>
          </rPr>
          <t xml:space="preserve">
Campaign Date (Next Year) - Automatic</t>
        </r>
      </text>
    </comment>
  </commentList>
</comments>
</file>

<file path=xl/sharedStrings.xml><?xml version="1.0" encoding="utf-8"?>
<sst xmlns="http://schemas.openxmlformats.org/spreadsheetml/2006/main" count="310" uniqueCount="71">
  <si>
    <t>WORLD MISSION PUBLICATIONS</t>
  </si>
  <si>
    <t>#7885 Segundo Mendoza Street, Villa Mendoza Subd., Sucat, Parañaque City</t>
  </si>
  <si>
    <t>Tel. Nos.: 829-0740 and 829-7481</t>
  </si>
  <si>
    <t>MONTHLY DISTRIBUTION REPORT</t>
  </si>
  <si>
    <t>Local</t>
  </si>
  <si>
    <t>Abroad</t>
  </si>
  <si>
    <t>Total</t>
  </si>
  <si>
    <t>PAID SUBSCRIBERS</t>
  </si>
  <si>
    <t>Priest and Religious</t>
  </si>
  <si>
    <t>Lay Persons</t>
  </si>
  <si>
    <t>Schools/Libraries</t>
  </si>
  <si>
    <t>Campus Ministries</t>
  </si>
  <si>
    <t>Total Paid Subscribers</t>
  </si>
  <si>
    <t>SUBSCRIPTIONS NOT YET ENCODED</t>
  </si>
  <si>
    <t>NEW SUBSCRIBERS for the month</t>
  </si>
  <si>
    <t>RENEWALS during the month of April</t>
  </si>
  <si>
    <t>Renewed =</t>
  </si>
  <si>
    <t>CONSIGNMENTS</t>
  </si>
  <si>
    <t>Schools</t>
  </si>
  <si>
    <t>Bookstores</t>
  </si>
  <si>
    <t>Religious Communities</t>
  </si>
  <si>
    <t>Total Consignments</t>
  </si>
  <si>
    <t>SALES</t>
  </si>
  <si>
    <t>DCS</t>
  </si>
  <si>
    <t>Cebu</t>
  </si>
  <si>
    <t>Mission Promotion/Sucat</t>
  </si>
  <si>
    <t>Total Sales</t>
  </si>
  <si>
    <t>TOTAL NUMBER OF COPIES SOLD</t>
  </si>
  <si>
    <t>COMPLIMENTARY</t>
  </si>
  <si>
    <t>Parishes</t>
  </si>
  <si>
    <t>Various/Foreign/Religious/Campus M.</t>
  </si>
  <si>
    <t>Exchange</t>
  </si>
  <si>
    <t>Promotional</t>
  </si>
  <si>
    <t>Gifts (MP/Editor)</t>
  </si>
  <si>
    <t>Total Complimentary</t>
  </si>
  <si>
    <t>IN STOCK</t>
  </si>
  <si>
    <t>TOTAL NUMBER OF COPIES RELEASED</t>
  </si>
  <si>
    <t>NUMBER OF PRINTED COPIES</t>
  </si>
  <si>
    <t>AVAILABLE</t>
  </si>
  <si>
    <t>Prepared by:</t>
  </si>
  <si>
    <t>BP,CHAP,REL,RELMEN,RELWOMEN,PAR</t>
  </si>
  <si>
    <t>SCH,LIB</t>
  </si>
  <si>
    <t>MIN</t>
  </si>
  <si>
    <t>LAY,VARIOUS,EXC</t>
  </si>
  <si>
    <t>GIFT</t>
  </si>
  <si>
    <t xml:space="preserve">  </t>
  </si>
  <si>
    <t>Gift Subscriptions</t>
  </si>
  <si>
    <t>Others</t>
  </si>
  <si>
    <t>Paid w/ Mass</t>
  </si>
  <si>
    <t xml:space="preserve">DUE FOR RENEWAL for the month = </t>
  </si>
  <si>
    <t>PAR</t>
  </si>
  <si>
    <t>EXC</t>
  </si>
  <si>
    <t>RELMEN,RELWOMEN,VARIOUS,MIN</t>
  </si>
  <si>
    <t>_____________________________</t>
  </si>
  <si>
    <t xml:space="preserve">   </t>
  </si>
  <si>
    <t xml:space="preserve">CAMPAIGN SENT </t>
  </si>
  <si>
    <t>QTY</t>
  </si>
  <si>
    <t>EXPENSE</t>
  </si>
  <si>
    <t xml:space="preserve">   METRO MANILA</t>
  </si>
  <si>
    <t xml:space="preserve">   LUZON</t>
  </si>
  <si>
    <t xml:space="preserve">   VIZMIN</t>
  </si>
  <si>
    <t xml:space="preserve">   FOREIGN</t>
  </si>
  <si>
    <t>TOTAL CAMPAIGN SENT:</t>
  </si>
  <si>
    <t>INCOME</t>
  </si>
  <si>
    <t xml:space="preserve">        250.00 &amp; above</t>
  </si>
  <si>
    <t xml:space="preserve">     1,000.00 &amp; above</t>
  </si>
  <si>
    <t xml:space="preserve">        250.00 &amp; above </t>
  </si>
  <si>
    <t>NO RESPONSE</t>
  </si>
  <si>
    <t xml:space="preserve">NEW NAMES </t>
  </si>
  <si>
    <r>
      <t xml:space="preserve">  </t>
    </r>
    <r>
      <rPr>
        <u/>
        <sz val="11"/>
        <rFont val="Arial"/>
        <family val="2"/>
      </rPr>
      <t xml:space="preserve"> (HRG/FOM/WM)</t>
    </r>
    <r>
      <rPr>
        <sz val="11"/>
        <rFont val="Arial"/>
        <family val="2"/>
      </rPr>
      <t xml:space="preserve"> </t>
    </r>
  </si>
  <si>
    <t>P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</si>
</sst>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20">
    <font>
      <sz val="10"/>
      <name val="Arial"/>
    </font>
    <font>
      <sz val="10"/>
      <name val="Arial"/>
    </font>
    <font>
      <sz val="8"/>
      <color indexed="81"/>
      <name val="Tahoma"/>
    </font>
    <font>
      <b/>
      <sz val="8"/>
      <color indexed="81"/>
      <name val="Tahoma"/>
    </font>
    <font>
      <b/>
      <sz val="10"/>
      <name val="Arial"/>
      <family val="2"/>
    </font>
    <font>
      <b/>
      <sz val="12"/>
      <name val="Arial"/>
      <family val="2"/>
    </font>
    <font>
      <b/>
      <i/>
      <sz val="10"/>
      <name val="Arial"/>
      <family val="2"/>
    </font>
    <font>
      <b/>
      <sz val="12"/>
      <name val="Times New Roman"/>
      <family val="1"/>
    </font>
    <font>
      <b/>
      <i/>
      <u/>
      <sz val="12"/>
      <name val="Arial"/>
      <family val="2"/>
    </font>
    <font>
      <b/>
      <u/>
      <sz val="14"/>
      <name val="Arial"/>
      <family val="2"/>
    </font>
    <font>
      <u/>
      <sz val="14"/>
      <name val="Arial"/>
      <family val="2"/>
    </font>
    <font>
      <sz val="12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u/>
      <sz val="11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u/>
      <sz val="10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0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64" fontId="0" fillId="0" borderId="0" xfId="1" applyNumberFormat="1" applyFont="1" applyBorder="1"/>
    <xf numFmtId="164" fontId="0" fillId="0" borderId="9" xfId="1" applyNumberFormat="1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4" fillId="0" borderId="0" xfId="0" applyFont="1" applyBorder="1"/>
    <xf numFmtId="0" fontId="4" fillId="0" borderId="0" xfId="0" applyFont="1"/>
    <xf numFmtId="0" fontId="4" fillId="0" borderId="0" xfId="0" applyFont="1" applyAlignment="1">
      <alignment horizontal="center"/>
    </xf>
    <xf numFmtId="164" fontId="0" fillId="0" borderId="16" xfId="1" applyNumberFormat="1" applyFont="1" applyBorder="1"/>
    <xf numFmtId="164" fontId="4" fillId="0" borderId="0" xfId="1" applyNumberFormat="1" applyFont="1"/>
    <xf numFmtId="164" fontId="4" fillId="0" borderId="17" xfId="1" applyNumberFormat="1" applyFont="1" applyBorder="1"/>
    <xf numFmtId="0" fontId="5" fillId="0" borderId="0" xfId="0" applyFont="1" applyAlignment="1">
      <alignment horizontal="center"/>
    </xf>
    <xf numFmtId="0" fontId="11" fillId="0" borderId="0" xfId="0" applyFont="1"/>
    <xf numFmtId="0" fontId="12" fillId="0" borderId="0" xfId="0" applyFont="1"/>
    <xf numFmtId="0" fontId="13" fillId="0" borderId="0" xfId="0" applyFont="1" applyAlignment="1">
      <alignment horizontal="center"/>
    </xf>
    <xf numFmtId="0" fontId="14" fillId="0" borderId="0" xfId="0" applyFont="1"/>
    <xf numFmtId="0" fontId="5" fillId="0" borderId="0" xfId="0" applyFont="1"/>
    <xf numFmtId="3" fontId="14" fillId="0" borderId="0" xfId="0" applyNumberFormat="1" applyFont="1" applyAlignment="1">
      <alignment horizontal="center"/>
    </xf>
    <xf numFmtId="3" fontId="13" fillId="0" borderId="0" xfId="0" applyNumberFormat="1" applyFont="1" applyAlignment="1">
      <alignment horizontal="center"/>
    </xf>
    <xf numFmtId="0" fontId="14" fillId="0" borderId="16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3" fillId="0" borderId="0" xfId="0" applyFont="1"/>
    <xf numFmtId="0" fontId="15" fillId="0" borderId="0" xfId="0" applyFont="1"/>
    <xf numFmtId="0" fontId="14" fillId="0" borderId="0" xfId="0" applyFont="1" applyAlignment="1">
      <alignment horizontal="center"/>
    </xf>
    <xf numFmtId="0" fontId="16" fillId="0" borderId="0" xfId="0" applyFont="1"/>
    <xf numFmtId="0" fontId="13" fillId="0" borderId="0" xfId="0" applyFont="1" applyBorder="1"/>
    <xf numFmtId="43" fontId="14" fillId="0" borderId="0" xfId="1" applyFont="1"/>
    <xf numFmtId="43" fontId="14" fillId="0" borderId="16" xfId="1" applyFont="1" applyBorder="1"/>
    <xf numFmtId="43" fontId="13" fillId="0" borderId="0" xfId="1" applyFont="1" applyBorder="1"/>
    <xf numFmtId="43" fontId="14" fillId="0" borderId="0" xfId="1" applyFont="1" applyAlignment="1">
      <alignment horizontal="center"/>
    </xf>
    <xf numFmtId="43" fontId="13" fillId="0" borderId="9" xfId="1" applyFont="1" applyBorder="1"/>
    <xf numFmtId="43" fontId="5" fillId="0" borderId="17" xfId="0" applyNumberFormat="1" applyFont="1" applyBorder="1"/>
    <xf numFmtId="0" fontId="14" fillId="0" borderId="0" xfId="0" applyFont="1" applyBorder="1"/>
    <xf numFmtId="0" fontId="5" fillId="0" borderId="0" xfId="0" applyFont="1" applyFill="1" applyBorder="1"/>
    <xf numFmtId="43" fontId="5" fillId="0" borderId="0" xfId="0" applyNumberFormat="1" applyFont="1" applyBorder="1"/>
    <xf numFmtId="43" fontId="5" fillId="0" borderId="14" xfId="1" applyFont="1" applyFill="1" applyBorder="1"/>
    <xf numFmtId="0" fontId="18" fillId="0" borderId="0" xfId="0" applyFont="1"/>
    <xf numFmtId="0" fontId="16" fillId="0" borderId="0" xfId="0" applyFont="1" applyAlignment="1">
      <alignment horizontal="center"/>
    </xf>
    <xf numFmtId="3" fontId="16" fillId="0" borderId="0" xfId="0" applyNumberFormat="1" applyFont="1" applyAlignment="1">
      <alignment horizontal="center"/>
    </xf>
    <xf numFmtId="43" fontId="16" fillId="0" borderId="0" xfId="1" applyFont="1" applyAlignment="1">
      <alignment horizontal="center"/>
    </xf>
    <xf numFmtId="43" fontId="4" fillId="0" borderId="18" xfId="1" applyFont="1" applyBorder="1"/>
    <xf numFmtId="0" fontId="19" fillId="0" borderId="0" xfId="0" applyFont="1" applyAlignment="1">
      <alignment horizontal="center"/>
    </xf>
    <xf numFmtId="14" fontId="0" fillId="0" borderId="0" xfId="0" applyNumberFormat="1" applyAlignment="1"/>
    <xf numFmtId="0" fontId="0" fillId="0" borderId="0" xfId="0" applyNumberFormat="1" applyAlignment="1"/>
    <xf numFmtId="0" fontId="0" fillId="0" borderId="0" xfId="0" applyAlignment="1"/>
    <xf numFmtId="3" fontId="4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43" fontId="17" fillId="0" borderId="0" xfId="1" applyFont="1" applyAlignment="1"/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20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89"/>
  <sheetViews>
    <sheetView workbookViewId="0">
      <selection activeCell="G14" sqref="G14"/>
    </sheetView>
  </sheetViews>
  <sheetFormatPr defaultRowHeight="12.75"/>
  <cols>
    <col min="1" max="1" width="10.28515625" customWidth="1"/>
    <col min="2" max="2" width="10.42578125" customWidth="1"/>
    <col min="3" max="4" width="8.42578125" hidden="1" customWidth="1"/>
    <col min="5" max="5" width="2.42578125" customWidth="1"/>
    <col min="6" max="6" width="27" customWidth="1"/>
    <col min="8" max="8" width="4.7109375" customWidth="1"/>
    <col min="9" max="9" width="3.7109375" customWidth="1"/>
    <col min="10" max="10" width="19.85546875" customWidth="1"/>
    <col min="11" max="11" width="3.140625" customWidth="1"/>
    <col min="12" max="12" width="18.5703125" customWidth="1"/>
    <col min="13" max="13" width="9.7109375" customWidth="1"/>
    <col min="14" max="14" width="2" customWidth="1"/>
    <col min="15" max="15" width="2.140625" customWidth="1"/>
    <col min="16" max="16" width="16.42578125" customWidth="1"/>
  </cols>
  <sheetData>
    <row r="1" spans="1:12">
      <c r="A1" s="62"/>
      <c r="B1" s="62"/>
      <c r="C1" s="62"/>
      <c r="D1" s="62"/>
      <c r="E1" s="62"/>
    </row>
    <row r="3" spans="1:12" ht="18">
      <c r="A3" s="1">
        <v>41090</v>
      </c>
      <c r="B3" s="1">
        <v>41090</v>
      </c>
      <c r="C3" t="e">
        <f ca="1">XLRMACRO("HRG_COUNT","SELECT COUNT(a.id) FROM hrg a")</f>
        <v>#NAME?</v>
      </c>
      <c r="D3" t="e">
        <f ca="1">XLRMACRO("HRG_CUTOFF",IF(AND(ISNUMBER($B$3),$B$3&lt;&gt;0)," and (a.adddate &lt;= #" &amp; XLSSQLDATE($B$3) &amp; " 23:59:59#)",""))</f>
        <v>#NAME?</v>
      </c>
      <c r="E3" s="1" t="s">
        <v>45</v>
      </c>
      <c r="F3" s="60" t="str">
        <f>"HOLY REDEEMER GUILD - CAMPAIGN " &amp; TEXT($A$3,"YYYY")</f>
        <v>HOLY REDEEMER GUILD - CAMPAIGN 2012</v>
      </c>
      <c r="G3" s="61"/>
      <c r="H3" s="61"/>
      <c r="I3" s="61"/>
      <c r="J3" s="61"/>
      <c r="K3" s="61"/>
      <c r="L3" s="61"/>
    </row>
    <row r="4" spans="1:12" ht="15">
      <c r="C4" t="e">
        <f ca="1">XLRMACRO("HRG_SUM","SELECT SUM(a.paymtamt) FROM hrg a")</f>
        <v>#NAME?</v>
      </c>
      <c r="E4" s="1" t="s">
        <v>45</v>
      </c>
      <c r="F4" s="26"/>
      <c r="G4" s="26"/>
      <c r="H4" s="26"/>
      <c r="I4" s="26"/>
      <c r="J4" s="26"/>
      <c r="K4" s="26"/>
    </row>
    <row r="5" spans="1:12" ht="15">
      <c r="A5" s="1">
        <v>42675</v>
      </c>
      <c r="B5" s="1">
        <f>DATE(YEAR($A$5)-1,MONTH($A$5),1)</f>
        <v>42309</v>
      </c>
      <c r="C5" t="e">
        <f ca="1">XLRMACRO("HRG_FILTCURR","(a.campaigndate BETWEEN #" &amp; XLSSQLDATE($A$5) &amp; " 00:00:00# and #" &amp; XLSSQLDATE($A$5) &amp; " 23:59:59#)")</f>
        <v>#NAME?</v>
      </c>
      <c r="D5" t="e">
        <f ca="1">XLRMACRO("HRG_FILTPREV","(a.campaigndate BETWEEN #" &amp; XLSSQLDATE($B$5) &amp; " 00:00:00# and #" &amp; XLSSQLDATE($B$5) &amp; " 23:59:59#)")</f>
        <v>#NAME?</v>
      </c>
      <c r="E5" s="1" t="s">
        <v>45</v>
      </c>
      <c r="F5" s="26"/>
      <c r="G5" s="26"/>
      <c r="H5" s="26"/>
      <c r="I5" s="26"/>
      <c r="J5" s="26"/>
      <c r="K5" s="26"/>
    </row>
    <row r="6" spans="1:12" ht="15">
      <c r="B6" s="1">
        <f>DATE(YEAR($A$5)+1,MONTH($A$5),1)</f>
        <v>43040</v>
      </c>
      <c r="D6" t="e">
        <f ca="1">XLRMACRO("HRG_FILTNEXT","(a.campaigndate BETWEEN #" &amp; XLSSQLDATE($B$6) &amp; " 00:00:00# and #" &amp; XLSSQLDATE($B$6) &amp; " 23:59:59#)")</f>
        <v>#NAME?</v>
      </c>
      <c r="E6" s="1" t="s">
        <v>45</v>
      </c>
      <c r="F6" s="27" t="s">
        <v>55</v>
      </c>
      <c r="G6" s="28" t="s">
        <v>56</v>
      </c>
      <c r="H6" s="29"/>
      <c r="I6" s="29"/>
      <c r="J6" s="28" t="s">
        <v>57</v>
      </c>
      <c r="K6" s="28"/>
    </row>
    <row r="7" spans="1:12" ht="14.25">
      <c r="E7" s="1" t="s">
        <v>45</v>
      </c>
      <c r="F7" s="29" t="s">
        <v>69</v>
      </c>
      <c r="G7" s="29"/>
      <c r="H7" s="29"/>
      <c r="I7" s="29"/>
      <c r="J7" s="29"/>
      <c r="K7" s="29"/>
    </row>
    <row r="8" spans="1:12" ht="14.25">
      <c r="A8" s="1"/>
      <c r="E8" s="1" t="s">
        <v>45</v>
      </c>
      <c r="F8" s="29" t="str">
        <f>"   (AUG. " &amp; UPPER(TEXT($A$3,"YYYY")) &amp; ")"</f>
        <v xml:space="preserve">   (AUG. 2012)</v>
      </c>
      <c r="G8" s="29"/>
      <c r="H8" s="29"/>
      <c r="I8" s="29"/>
      <c r="J8" s="29"/>
      <c r="K8" s="29"/>
    </row>
    <row r="9" spans="1:12" ht="15.75">
      <c r="E9" s="1" t="s">
        <v>45</v>
      </c>
      <c r="F9" s="30"/>
      <c r="G9" s="26"/>
      <c r="H9" s="26"/>
      <c r="I9" s="26"/>
      <c r="J9" s="26"/>
      <c r="K9" s="26"/>
    </row>
    <row r="10" spans="1:12" ht="15">
      <c r="E10" s="1" t="s">
        <v>45</v>
      </c>
      <c r="F10" s="29" t="s">
        <v>58</v>
      </c>
      <c r="G10" s="31">
        <v>14367</v>
      </c>
      <c r="H10" s="32"/>
      <c r="I10" s="31" t="s">
        <v>70</v>
      </c>
      <c r="J10" s="40"/>
      <c r="K10" s="29"/>
    </row>
    <row r="11" spans="1:12" ht="15">
      <c r="A11" s="55"/>
      <c r="B11" s="55"/>
      <c r="C11" s="55"/>
      <c r="D11" s="55"/>
      <c r="E11" s="1" t="s">
        <v>45</v>
      </c>
      <c r="F11" s="29" t="s">
        <v>59</v>
      </c>
      <c r="G11" s="31">
        <v>4236</v>
      </c>
      <c r="H11" s="32"/>
      <c r="I11" s="31" t="s">
        <v>70</v>
      </c>
      <c r="J11" s="40"/>
      <c r="K11" s="29"/>
    </row>
    <row r="12" spans="1:12" ht="15">
      <c r="A12" s="56"/>
      <c r="B12" s="56"/>
      <c r="C12" s="57"/>
      <c r="D12" s="57"/>
      <c r="E12" s="1" t="s">
        <v>45</v>
      </c>
      <c r="F12" s="29" t="s">
        <v>60</v>
      </c>
      <c r="G12" s="31">
        <v>1818</v>
      </c>
      <c r="H12" s="32"/>
      <c r="I12" s="31" t="s">
        <v>70</v>
      </c>
      <c r="J12" s="40"/>
      <c r="K12" s="29"/>
    </row>
    <row r="13" spans="1:12" ht="15">
      <c r="A13" s="56"/>
      <c r="B13" s="56"/>
      <c r="C13" s="57"/>
      <c r="D13" s="57"/>
      <c r="E13" s="1" t="s">
        <v>45</v>
      </c>
      <c r="F13" s="29" t="s">
        <v>61</v>
      </c>
      <c r="G13" s="33">
        <v>124</v>
      </c>
      <c r="H13" s="34"/>
      <c r="I13" s="31" t="s">
        <v>70</v>
      </c>
      <c r="J13" s="41"/>
      <c r="K13" s="46"/>
    </row>
    <row r="14" spans="1:12" ht="15">
      <c r="A14" s="58"/>
      <c r="B14" s="58"/>
      <c r="C14" s="58"/>
      <c r="D14" s="58"/>
      <c r="E14" s="1" t="s">
        <v>45</v>
      </c>
      <c r="F14" s="29"/>
      <c r="G14" s="29"/>
      <c r="H14" s="32"/>
      <c r="I14" s="32"/>
      <c r="J14" s="40"/>
      <c r="K14" s="29"/>
    </row>
    <row r="15" spans="1:12" ht="16.5" thickBot="1">
      <c r="A15" s="58"/>
      <c r="B15" s="58"/>
      <c r="C15" s="58"/>
      <c r="D15" s="58"/>
      <c r="E15" s="1" t="s">
        <v>45</v>
      </c>
      <c r="F15" s="35" t="s">
        <v>62</v>
      </c>
      <c r="G15" s="32">
        <f>SUM(G10:G13)</f>
        <v>20545</v>
      </c>
      <c r="H15" s="29"/>
      <c r="I15" s="28" t="s">
        <v>70</v>
      </c>
      <c r="J15" s="49">
        <f>SUM(J10:J13)</f>
        <v>0</v>
      </c>
      <c r="K15" s="47"/>
    </row>
    <row r="16" spans="1:12" ht="15.75" thickTop="1">
      <c r="A16" s="58"/>
      <c r="B16" s="58"/>
      <c r="C16" s="58"/>
      <c r="D16" s="58"/>
      <c r="E16" s="1" t="s">
        <v>45</v>
      </c>
      <c r="F16" s="26"/>
      <c r="G16" s="26"/>
      <c r="H16" s="26"/>
      <c r="I16" s="26"/>
      <c r="J16" s="26"/>
      <c r="K16" s="26"/>
    </row>
    <row r="17" spans="1:18" ht="15">
      <c r="A17" s="55"/>
      <c r="B17" s="55"/>
      <c r="C17" s="55"/>
      <c r="D17" s="55"/>
      <c r="E17" s="1" t="s">
        <v>45</v>
      </c>
      <c r="F17" s="26"/>
      <c r="G17" s="26"/>
      <c r="H17" s="26"/>
      <c r="I17" s="26"/>
      <c r="J17" s="26"/>
      <c r="K17" s="26"/>
    </row>
    <row r="18" spans="1:18" ht="15.75">
      <c r="A18" s="56"/>
      <c r="B18" s="56"/>
      <c r="C18" s="57"/>
      <c r="D18" s="57"/>
      <c r="E18" s="1" t="s">
        <v>45</v>
      </c>
      <c r="F18" s="26"/>
      <c r="G18" s="26"/>
      <c r="H18" s="26"/>
      <c r="I18" s="26"/>
      <c r="J18" s="28" t="s">
        <v>63</v>
      </c>
      <c r="K18" s="28"/>
    </row>
    <row r="19" spans="1:18" ht="15">
      <c r="A19" s="56"/>
      <c r="B19" s="56"/>
      <c r="C19" s="57"/>
      <c r="D19" s="57"/>
      <c r="E19" s="1" t="s">
        <v>45</v>
      </c>
      <c r="F19" s="27" t="str">
        <f>"RENEWAL (" &amp; TEXT($A$5,"yyyy") &amp; ")"</f>
        <v>RENEWAL (2016)</v>
      </c>
      <c r="G19" s="36"/>
      <c r="H19" s="36"/>
      <c r="I19" s="36"/>
      <c r="L19" s="50" t="str">
        <f>"RENEWAL (" &amp; TEXT($B$5,"yyyy") &amp; ")"</f>
        <v>RENEWAL (2015)</v>
      </c>
      <c r="M19" s="50"/>
      <c r="N19" s="50"/>
      <c r="O19" s="50"/>
      <c r="P19" s="38"/>
    </row>
    <row r="20" spans="1:18" ht="15">
      <c r="A20" s="58"/>
      <c r="B20" s="58"/>
      <c r="C20" t="e">
        <f ca="1">" and (a.paymtamt BETWEEN 250 and 999.99) and ((SELECT COUNT(b.id) FROM hrg b WHERE (b.clientid = a.clientid) and (b.campaigndate &lt; #" &amp; XLSSQLDATE($A$5) &amp; " 23:59:59#)) &gt; 0)"</f>
        <v>#NAME?</v>
      </c>
      <c r="D20" t="e">
        <f ca="1">" and (a.paymtamt BETWEEN 250 and 999.99) and ((SELECT COUNT(b.id) FROM hrg b WHERE (b.clientid = a.clientid) and (b.campaigndate &lt; #" &amp; XLSSQLDATE($B$5) &amp; " 23:59:59#)) &gt; 0)"</f>
        <v>#NAME?</v>
      </c>
      <c r="E20" s="1" t="s">
        <v>45</v>
      </c>
      <c r="F20" s="29" t="s">
        <v>64</v>
      </c>
      <c r="G20" s="37" t="e">
        <f ca="1">XLSSQLVALUE("&amp;HRG_COUNT  WHERE &amp;HRG_FILTCURR  &amp;HRG_CUTOFF " &amp; $C20)</f>
        <v>#NAME?</v>
      </c>
      <c r="H20" s="28"/>
      <c r="I20" s="31" t="s">
        <v>70</v>
      </c>
      <c r="J20" s="43" t="e">
        <f ca="1">XLSSQLVALUE("&amp;HRG_SUM  WHERE &amp;HRG_FILTCURR  &amp;HRG_CUTOFF " &amp; $C20)</f>
        <v>#NAME?</v>
      </c>
      <c r="K20" s="43"/>
      <c r="L20" s="38" t="s">
        <v>64</v>
      </c>
      <c r="M20" s="51" t="e">
        <f ca="1">XLSSQLVALUE("&amp;HRG_COUNT  WHERE &amp;HRG_FILTPREV  &amp;HRG_CUTOFF " &amp; $D20)</f>
        <v>#NAME?</v>
      </c>
      <c r="N20" s="21"/>
      <c r="O20" s="52" t="s">
        <v>70</v>
      </c>
      <c r="P20" s="53" t="e">
        <f ca="1">XLSSQLVALUE("&amp;HRG_SUM  WHERE &amp;HRG_FILTPREV  &amp;HRG_CUTOFF " &amp; $D20)</f>
        <v>#NAME?</v>
      </c>
      <c r="R20" s="37"/>
    </row>
    <row r="21" spans="1:18" ht="15">
      <c r="A21" s="58"/>
      <c r="B21" s="58"/>
      <c r="C21" t="e">
        <f ca="1">" and (a.paymtamt &gt; 999.99) and ((SELECT COUNT(b.id) FROM hrg b WHERE (b.clientid = a.clientid) and (b.campaigndate &lt; #" &amp; XLSSQLDATE($A$5) &amp; " 23:59:59#)) &gt; 0)"</f>
        <v>#NAME?</v>
      </c>
      <c r="D21" t="e">
        <f ca="1">" and (a.paymtamt &gt; 999.99) and ((SELECT COUNT(b.id) FROM hrg b WHERE (b.clientid = a.clientid) and (b.campaigndate &lt; #" &amp; XLSSQLDATE($B$5) &amp; " 23:59:59#)) &gt; 0)"</f>
        <v>#NAME?</v>
      </c>
      <c r="E21" s="1" t="s">
        <v>45</v>
      </c>
      <c r="F21" s="29" t="s">
        <v>65</v>
      </c>
      <c r="G21" s="37" t="e">
        <f ca="1">XLSSQLVALUE("&amp;HRG_COUNT  WHERE &amp;HRG_FILTCURR  &amp;HRG_CUTOFF " &amp; $C21)</f>
        <v>#NAME?</v>
      </c>
      <c r="H21" s="28"/>
      <c r="I21" s="31" t="s">
        <v>70</v>
      </c>
      <c r="J21" s="43" t="e">
        <f ca="1">XLSSQLVALUE("&amp;HRG_SUM  WHERE &amp;HRG_FILTCURR  &amp;HRG_CUTOFF " &amp; $C21)</f>
        <v>#NAME?</v>
      </c>
      <c r="K21" s="43"/>
      <c r="L21" s="38" t="s">
        <v>65</v>
      </c>
      <c r="M21" s="51" t="e">
        <f ca="1">XLSSQLVALUE("&amp;HRG_COUNT  WHERE &amp;HRG_FILTPREV  &amp;HRG_CUTOFF " &amp; $D21)</f>
        <v>#NAME?</v>
      </c>
      <c r="N21" s="21"/>
      <c r="O21" s="52" t="s">
        <v>70</v>
      </c>
      <c r="P21" s="53" t="e">
        <f ca="1">XLSSQLVALUE("&amp;HRG_SUM  WHERE &amp;HRG_FILTPREV  &amp;HRG_CUTOFF " &amp; $D21)</f>
        <v>#NAME?</v>
      </c>
    </row>
    <row r="22" spans="1:18" ht="15">
      <c r="A22" s="58"/>
      <c r="B22" s="58"/>
      <c r="C22" s="58"/>
      <c r="D22" s="58"/>
      <c r="E22" s="1" t="s">
        <v>45</v>
      </c>
      <c r="F22" s="29"/>
      <c r="G22" s="29"/>
      <c r="H22" s="29"/>
      <c r="I22" s="28" t="s">
        <v>70</v>
      </c>
      <c r="J22" s="44" t="e">
        <f ca="1">SUM(J20:J21)</f>
        <v>#NAME?</v>
      </c>
      <c r="K22" s="42"/>
      <c r="L22" s="38"/>
      <c r="M22" s="38"/>
      <c r="N22" s="38"/>
      <c r="O22" s="59" t="s">
        <v>70</v>
      </c>
      <c r="P22" s="54" t="e">
        <f ca="1">SUM(P20:P21)</f>
        <v>#NAME?</v>
      </c>
    </row>
    <row r="23" spans="1:18" ht="15">
      <c r="A23" s="56"/>
      <c r="B23" s="58"/>
      <c r="C23" s="58"/>
      <c r="D23" s="58"/>
      <c r="E23" s="1" t="s">
        <v>45</v>
      </c>
      <c r="F23" s="26"/>
      <c r="G23" s="26"/>
      <c r="H23" s="26"/>
      <c r="I23" s="26"/>
      <c r="J23" s="26"/>
      <c r="K23" s="26"/>
      <c r="L23" s="38"/>
    </row>
    <row r="24" spans="1:18" ht="15">
      <c r="A24" s="56"/>
      <c r="B24" s="56"/>
      <c r="C24" s="57"/>
      <c r="D24" s="57"/>
      <c r="E24" s="1" t="s">
        <v>45</v>
      </c>
      <c r="F24" s="26"/>
      <c r="G24" s="26"/>
      <c r="H24" s="26"/>
      <c r="I24" s="26"/>
      <c r="J24" s="26"/>
      <c r="K24" s="26"/>
      <c r="L24" s="38"/>
    </row>
    <row r="25" spans="1:18" ht="15">
      <c r="A25" s="56"/>
      <c r="B25" s="56"/>
      <c r="C25" s="57"/>
      <c r="D25" s="57"/>
      <c r="E25" s="1" t="s">
        <v>45</v>
      </c>
      <c r="F25" s="27" t="str">
        <f>"NEW MEMBER (" &amp; TEXT($A$5,"yyyy") &amp; ")"</f>
        <v>NEW MEMBER (2016)</v>
      </c>
      <c r="G25" s="36"/>
      <c r="H25" s="36"/>
      <c r="I25" s="36"/>
      <c r="J25" s="29"/>
      <c r="K25" s="29"/>
      <c r="L25" s="50" t="str">
        <f>"NEW MEMBER (" &amp; TEXT($B$5,"yyyy") &amp; ")"</f>
        <v>NEW MEMBER (2015)</v>
      </c>
      <c r="M25" s="50"/>
      <c r="N25" s="50"/>
      <c r="O25" s="50"/>
      <c r="P25" s="38"/>
    </row>
    <row r="26" spans="1:18" ht="15">
      <c r="A26" s="58"/>
      <c r="B26" s="58"/>
      <c r="C26" t="e">
        <f ca="1">" and (a.paymtamt BETWEEN 250 and 999.99) and ((SELECT COUNT(b.id) FROM hrg b WHERE (b.clientid = a.clientid) and (b.campaigndate &lt; #" &amp; XLSSQLDATE($A$5) &amp; " 23:59:59#)) = 0)"</f>
        <v>#NAME?</v>
      </c>
      <c r="D26" t="e">
        <f ca="1">" and (a.paymtamt BETWEEN 250 and 999.99) and ((SELECT COUNT(b.id) FROM hrg b WHERE (b.clientid = a.clientid) and (b.campaigndate &lt; #" &amp; XLSSQLDATE($B$5) &amp; " 23:59:59#)) = 0)"</f>
        <v>#NAME?</v>
      </c>
      <c r="E26" s="1" t="s">
        <v>45</v>
      </c>
      <c r="F26" s="29" t="s">
        <v>66</v>
      </c>
      <c r="G26" s="37" t="e">
        <f ca="1">XLSSQLVALUE("&amp;HRG_COUNT  WHERE &amp;HRG_FILTCURR  &amp;HRG_CUTOFF " &amp; $C26)</f>
        <v>#NAME?</v>
      </c>
      <c r="H26" s="28"/>
      <c r="I26" s="31" t="s">
        <v>70</v>
      </c>
      <c r="J26" s="43" t="e">
        <f ca="1">XLSSQLVALUE("&amp;HRG_SUM  WHERE &amp;HRG_FILTCURR  &amp;HRG_CUTOFF " &amp; $C26)</f>
        <v>#NAME?</v>
      </c>
      <c r="K26" s="43"/>
      <c r="L26" s="38" t="s">
        <v>64</v>
      </c>
      <c r="M26" s="51" t="e">
        <f ca="1">XLSSQLVALUE("&amp;HRG_COUNT  WHERE &amp;HRG_FILTPREV  &amp;HRG_CUTOFF " &amp; $D26)</f>
        <v>#NAME?</v>
      </c>
      <c r="N26" s="21"/>
      <c r="O26" s="52" t="s">
        <v>70</v>
      </c>
      <c r="P26" s="53" t="e">
        <f ca="1">XLSSQLVALUE("&amp;HRG_SUM  WHERE &amp;HRG_FILTPREV  &amp;HRG_CUTOFF " &amp; $D26)</f>
        <v>#NAME?</v>
      </c>
    </row>
    <row r="27" spans="1:18" ht="15">
      <c r="A27" s="58"/>
      <c r="B27" s="58"/>
      <c r="C27" t="e">
        <f ca="1">" and (a.paymtamt &gt; 999.99) and ((SELECT COUNT(b.id) FROM hrg b WHERE (b.clientid = a.clientid) and (b.campaigndate &lt; #" &amp; XLSSQLDATE($A$5) &amp; " 23:59:59#)) = 0)"</f>
        <v>#NAME?</v>
      </c>
      <c r="D27" t="e">
        <f ca="1">" and (a.paymtamt &gt; 999.99) and ((SELECT COUNT(b.id) FROM hrg b WHERE (b.clientid = a.clientid) and (b.campaigndate &lt; #" &amp; XLSSQLDATE($B$5) &amp; " 23:59:59#)) = 0)"</f>
        <v>#NAME?</v>
      </c>
      <c r="E27" s="1" t="s">
        <v>45</v>
      </c>
      <c r="F27" s="29" t="s">
        <v>65</v>
      </c>
      <c r="G27" s="37" t="e">
        <f ca="1">XLSSQLVALUE("&amp;HRG_COUNT  WHERE &amp;HRG_FILTCURR  &amp;HRG_CUTOFF " &amp; $C27)</f>
        <v>#NAME?</v>
      </c>
      <c r="H27" s="28"/>
      <c r="I27" s="31" t="s">
        <v>70</v>
      </c>
      <c r="J27" s="43" t="e">
        <f ca="1">XLSSQLVALUE("&amp;HRG_SUM  WHERE &amp;HRG_FILTCURR  &amp;HRG_CUTOFF " &amp; $C27)</f>
        <v>#NAME?</v>
      </c>
      <c r="K27" s="43"/>
      <c r="L27" s="38" t="s">
        <v>65</v>
      </c>
      <c r="M27" s="51" t="e">
        <f ca="1">XLSSQLVALUE("&amp;HRG_COUNT  WHERE &amp;HRG_FILTPREV  &amp;HRG_CUTOFF " &amp; $D27)</f>
        <v>#NAME?</v>
      </c>
      <c r="N27" s="21"/>
      <c r="O27" s="52" t="s">
        <v>70</v>
      </c>
      <c r="P27" s="53" t="e">
        <f ca="1">XLSSQLVALUE("&amp;HRG_SUM  WHERE &amp;HRG_FILTPREV  &amp;HRG_CUTOFF " &amp; $D27)</f>
        <v>#NAME?</v>
      </c>
    </row>
    <row r="28" spans="1:18" ht="15">
      <c r="A28" s="58"/>
      <c r="B28" s="58"/>
      <c r="C28" s="58"/>
      <c r="D28" s="58"/>
      <c r="E28" s="1" t="s">
        <v>45</v>
      </c>
      <c r="F28" s="29"/>
      <c r="G28" s="29"/>
      <c r="H28" s="29"/>
      <c r="I28" s="28" t="s">
        <v>70</v>
      </c>
      <c r="J28" s="44" t="e">
        <f ca="1">SUM(J26:J27)</f>
        <v>#NAME?</v>
      </c>
      <c r="K28" s="42"/>
      <c r="L28" s="38"/>
      <c r="M28" s="38"/>
      <c r="N28" s="38"/>
      <c r="O28" s="59" t="s">
        <v>70</v>
      </c>
      <c r="P28" s="54" t="e">
        <f ca="1">SUM(P26:P27)</f>
        <v>#NAME?</v>
      </c>
    </row>
    <row r="29" spans="1:18" ht="15">
      <c r="A29" s="55"/>
      <c r="B29" s="55"/>
      <c r="C29" s="55"/>
      <c r="D29" s="55"/>
      <c r="E29" s="1" t="s">
        <v>45</v>
      </c>
      <c r="F29" s="26"/>
      <c r="G29" s="26"/>
      <c r="H29" s="26"/>
      <c r="I29" s="26"/>
      <c r="J29" s="26"/>
      <c r="K29" s="26"/>
    </row>
    <row r="30" spans="1:18" ht="15">
      <c r="A30" s="56"/>
      <c r="B30" s="56"/>
      <c r="C30" s="57"/>
      <c r="D30" s="57"/>
      <c r="E30" s="1" t="s">
        <v>45</v>
      </c>
      <c r="F30" s="26"/>
    </row>
    <row r="31" spans="1:18" ht="14.25">
      <c r="A31" s="56"/>
      <c r="B31" s="56"/>
      <c r="C31" s="57"/>
      <c r="D31" s="57"/>
      <c r="E31" s="1" t="s">
        <v>45</v>
      </c>
      <c r="F31" s="27" t="str">
        <f>"NEW MEMBER (" &amp; TEXT($B$6,"yyyy") &amp; ")"</f>
        <v>NEW MEMBER (2017)</v>
      </c>
      <c r="G31" s="29"/>
      <c r="H31" s="29"/>
      <c r="I31" s="29"/>
      <c r="J31" s="29"/>
      <c r="K31" s="29"/>
    </row>
    <row r="32" spans="1:18" ht="15">
      <c r="A32" s="58"/>
      <c r="B32" s="58"/>
      <c r="C32" t="e">
        <f ca="1">" and (a.paymtamt BETWEEN 250 and 999.99) and ((SELECT COUNT(b.id) FROM hrg b WHERE (b.clientid = a.clientid) and (b.campaigndate &lt; #" &amp; XLSSQLDATE($B$6) &amp; " 23:59:59#)) = 0)"</f>
        <v>#NAME?</v>
      </c>
      <c r="D32" s="58"/>
      <c r="E32" s="1" t="s">
        <v>45</v>
      </c>
      <c r="F32" s="29" t="s">
        <v>66</v>
      </c>
      <c r="G32" s="37" t="e">
        <f ca="1">XLSSQLVALUE("&amp;HRG_COUNT  WHERE &amp;HRG_FILTNEXT  &amp;HRG_CUTOFF " &amp; $C32)</f>
        <v>#NAME?</v>
      </c>
      <c r="H32" s="28"/>
      <c r="I32" s="31" t="s">
        <v>70</v>
      </c>
      <c r="J32" s="43" t="e">
        <f ca="1">XLSSQLVALUE("&amp;HRG_SUM  WHERE &amp;HRG_FILTNEXT  &amp;HRG_CUTOFF " &amp; $C32)</f>
        <v>#NAME?</v>
      </c>
      <c r="K32" s="43"/>
    </row>
    <row r="33" spans="1:16" ht="15">
      <c r="A33" s="58"/>
      <c r="B33" s="58"/>
      <c r="C33" t="e">
        <f ca="1">" and (a.paymtamt &gt; 999.99) and ((SELECT COUNT(b.id) FROM hrg b WHERE (b.clientid = a.clientid) and (b.campaigndate &lt; #" &amp; XLSSQLDATE($B$6) &amp; " 23:59:59#)) = 0)"</f>
        <v>#NAME?</v>
      </c>
      <c r="D33" s="58"/>
      <c r="E33" s="1" t="s">
        <v>45</v>
      </c>
      <c r="F33" s="29" t="s">
        <v>65</v>
      </c>
      <c r="G33" s="37" t="e">
        <f ca="1">XLSSQLVALUE("&amp;HRG_COUNT  WHERE &amp;HRG_FILTNEXT  &amp;HRG_CUTOFF " &amp; $C33)</f>
        <v>#NAME?</v>
      </c>
      <c r="H33" s="28"/>
      <c r="I33" s="31" t="s">
        <v>70</v>
      </c>
      <c r="J33" s="43" t="e">
        <f ca="1">XLSSQLVALUE("&amp;HRG_SUM  WHERE &amp;HRG_FILTNEXT  &amp;HRG_CUTOFF " &amp; $C33)</f>
        <v>#NAME?</v>
      </c>
      <c r="K33" s="43"/>
    </row>
    <row r="34" spans="1:16" ht="15">
      <c r="A34" s="58"/>
      <c r="B34" s="58"/>
      <c r="C34" s="58"/>
      <c r="D34" s="58"/>
      <c r="E34" s="1" t="s">
        <v>45</v>
      </c>
      <c r="F34" s="29"/>
      <c r="G34" s="29"/>
      <c r="H34" s="29"/>
      <c r="I34" s="37" t="s">
        <v>70</v>
      </c>
      <c r="J34" s="44" t="e">
        <f ca="1">SUM(J32:J33)</f>
        <v>#NAME?</v>
      </c>
      <c r="K34" s="42"/>
    </row>
    <row r="35" spans="1:16" ht="15">
      <c r="A35" s="58"/>
      <c r="B35" s="58"/>
      <c r="C35" s="58"/>
      <c r="D35" s="58"/>
      <c r="E35" s="1" t="s">
        <v>45</v>
      </c>
      <c r="F35" s="26"/>
      <c r="G35" s="26"/>
      <c r="H35" s="26"/>
      <c r="I35" s="26"/>
      <c r="J35" s="26"/>
      <c r="K35" s="26"/>
    </row>
    <row r="36" spans="1:16" ht="16.5" thickBot="1">
      <c r="A36" s="58"/>
      <c r="B36" s="58"/>
      <c r="C36" s="58"/>
      <c r="D36" s="58"/>
      <c r="E36" s="1" t="s">
        <v>45</v>
      </c>
      <c r="F36" s="35" t="str">
        <f>"TOTAL INCOME AS OF " &amp; UPPER(TEXT($A$3,"MMM. D, YYYY"))</f>
        <v>TOTAL INCOME AS OF JUN. 30, 2012</v>
      </c>
      <c r="G36" s="26"/>
      <c r="H36" s="26"/>
      <c r="I36" s="28" t="s">
        <v>70</v>
      </c>
      <c r="J36" s="45" t="e">
        <f ca="1">J22+J28+J34</f>
        <v>#NAME?</v>
      </c>
      <c r="K36" s="48"/>
    </row>
    <row r="37" spans="1:16" ht="16.5" thickTop="1">
      <c r="E37" s="1" t="s">
        <v>45</v>
      </c>
      <c r="F37" s="26"/>
      <c r="G37" s="26"/>
      <c r="H37" s="26"/>
      <c r="I37" s="26"/>
      <c r="J37" s="39"/>
      <c r="K37" s="39"/>
    </row>
    <row r="38" spans="1:16" ht="18">
      <c r="E38" s="1" t="s">
        <v>45</v>
      </c>
      <c r="F38" s="35" t="str">
        <f>"TOTAL NET PROFIT (for campaign " &amp; TEXT($A$5,"YYYY") &amp; "-" &amp; TEXT($B$6,"YYYY") &amp; ") ----------------------------------- "</f>
        <v xml:space="preserve">TOTAL NET PROFIT (for campaign 2016-2017) ----------------------------------- </v>
      </c>
      <c r="G38" s="35"/>
      <c r="H38" s="35"/>
      <c r="I38" s="35"/>
      <c r="J38" s="39"/>
      <c r="K38" s="34" t="s">
        <v>70</v>
      </c>
      <c r="L38" s="63" t="e">
        <f ca="1">J36-J15</f>
        <v>#NAME?</v>
      </c>
      <c r="M38" s="63"/>
      <c r="N38" s="63"/>
      <c r="O38" s="63"/>
      <c r="P38" s="63"/>
    </row>
    <row r="39" spans="1:16" ht="15.75">
      <c r="E39" s="1" t="s">
        <v>45</v>
      </c>
      <c r="F39" s="35"/>
      <c r="G39" s="35"/>
      <c r="H39" s="35"/>
      <c r="I39" s="35"/>
      <c r="J39" s="39"/>
      <c r="K39" s="39"/>
      <c r="L39" s="30"/>
    </row>
    <row r="40" spans="1:16" ht="15.75">
      <c r="C40" t="e">
        <f ca="1">" and ((SELECT COUNT(b.id) FROM hrg b WHERE (b.clientid = a.clientid) and (b.campaigndate BETWEEN #" &amp; XLSSQLDATE($A$5) &amp; " 00:00:00# and #" &amp; XLSSQLDATE($A$5) &amp; " 23:59:59#)) = 0)"</f>
        <v>#NAME?</v>
      </c>
      <c r="E40" s="1" t="s">
        <v>45</v>
      </c>
      <c r="F40" s="29" t="s">
        <v>67</v>
      </c>
      <c r="G40" s="37" t="e">
        <f ca="1">XLSSQLVALUE("&amp;HRG_COUNT  WHERE &amp;HRG_FILTPREV  &amp;HRG_CUTOFF " &amp; $C40)</f>
        <v>#NAME?</v>
      </c>
      <c r="H40" s="25"/>
      <c r="I40" s="25"/>
      <c r="J40" s="26"/>
      <c r="K40" s="26"/>
    </row>
    <row r="41" spans="1:16" ht="15">
      <c r="E41" s="1" t="s">
        <v>45</v>
      </c>
      <c r="F41" s="29"/>
      <c r="G41" s="29"/>
      <c r="H41" s="26"/>
      <c r="I41" s="26"/>
      <c r="J41" s="26"/>
      <c r="K41" s="26"/>
    </row>
    <row r="42" spans="1:16" ht="15.75">
      <c r="C42" t="e">
        <f ca="1">" and ((SELECT COUNT(b.id) FROM hrg b WHERE (b.clientid = a.clientid) and (b.campaigndate &lt;= #" &amp; XLSSQLDATE($A$5) &amp; " 23:59:59#)) = 0)"</f>
        <v>#NAME?</v>
      </c>
      <c r="E42" s="1" t="s">
        <v>45</v>
      </c>
      <c r="F42" s="29" t="s">
        <v>68</v>
      </c>
      <c r="G42" s="37" t="e">
        <f ca="1">XLSSQLVALUE("&amp;HRG_COUNT  WHERE &amp;HRG_FILTNEXT  &amp;HRG_CUTOFF " &amp; $C42)</f>
        <v>#NAME?</v>
      </c>
      <c r="H42" s="25"/>
      <c r="I42" s="25"/>
      <c r="J42" s="26"/>
      <c r="K42" s="26"/>
    </row>
    <row r="43" spans="1:16" ht="15">
      <c r="E43" s="1" t="s">
        <v>45</v>
      </c>
      <c r="F43" s="29" t="str">
        <f>"  (for campaign " &amp; TEXT($B$6,"YYYY") &amp; ")"</f>
        <v xml:space="preserve">  (for campaign 2017)</v>
      </c>
      <c r="G43" s="29"/>
      <c r="H43" s="26"/>
      <c r="I43" s="26"/>
      <c r="J43" s="26"/>
      <c r="K43" s="26"/>
    </row>
    <row r="44" spans="1:16" ht="18" customHeight="1">
      <c r="E44" s="1" t="s">
        <v>45</v>
      </c>
    </row>
    <row r="45" spans="1:16" ht="18" customHeight="1">
      <c r="E45" s="1" t="s">
        <v>45</v>
      </c>
      <c r="F45" t="s">
        <v>39</v>
      </c>
    </row>
    <row r="46" spans="1:16" ht="18" customHeight="1">
      <c r="E46" s="1" t="s">
        <v>45</v>
      </c>
    </row>
    <row r="47" spans="1:16">
      <c r="E47" s="1" t="s">
        <v>45</v>
      </c>
    </row>
    <row r="48" spans="1:16">
      <c r="E48" s="1" t="s">
        <v>45</v>
      </c>
    </row>
    <row r="49" spans="1:6">
      <c r="A49" t="e">
        <f ca="1">XLRMACROCLEAR("HRG_COUNT,HRG_SUM,HRG_CUTOFF,HRG_FILTCURR,HRG_FILTPREV,HRG_FILTNEXT")</f>
        <v>#NAME?</v>
      </c>
      <c r="E49" s="1" t="s">
        <v>45</v>
      </c>
      <c r="F49" t="e">
        <f ca="1">EVALEXPR("ACC_User")</f>
        <v>#NAME?</v>
      </c>
    </row>
    <row r="53" spans="1:6" ht="12.75" customHeight="1"/>
    <row r="58" spans="1:6" ht="12" customHeight="1"/>
    <row r="61" spans="1:6" ht="12" customHeight="1"/>
    <row r="67" ht="12" customHeight="1"/>
    <row r="68" ht="12" customHeight="1"/>
    <row r="73" ht="11.25" customHeight="1"/>
    <row r="74" ht="12" customHeight="1"/>
    <row r="81" ht="15" customHeight="1"/>
    <row r="85" ht="10.5" customHeight="1"/>
    <row r="89" ht="20.25" customHeight="1"/>
  </sheetData>
  <mergeCells count="3">
    <mergeCell ref="F3:L3"/>
    <mergeCell ref="A1:E1"/>
    <mergeCell ref="L38:P38"/>
  </mergeCells>
  <phoneticPr fontId="0" type="noConversion"/>
  <pageMargins left="0.45" right="0.22" top="0.88" bottom="0.78" header="0.5" footer="0.47"/>
  <pageSetup orientation="portrait" horizontalDpi="120" verticalDpi="144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1"/>
  <sheetViews>
    <sheetView workbookViewId="0">
      <selection sqref="A1:C1"/>
    </sheetView>
  </sheetViews>
  <sheetFormatPr defaultRowHeight="12.75"/>
  <cols>
    <col min="1" max="1" width="16.5703125" customWidth="1"/>
    <col min="3" max="3" width="2.28515625" customWidth="1"/>
    <col min="4" max="4" width="1" customWidth="1"/>
    <col min="5" max="5" width="35.140625" customWidth="1"/>
    <col min="6" max="6" width="16.7109375" customWidth="1"/>
    <col min="7" max="9" width="10.42578125" customWidth="1"/>
    <col min="10" max="10" width="1.28515625" customWidth="1"/>
  </cols>
  <sheetData>
    <row r="1" spans="1:10" ht="15.75">
      <c r="A1" s="62"/>
      <c r="B1" s="62"/>
      <c r="C1" s="62"/>
      <c r="D1" s="65" t="s">
        <v>0</v>
      </c>
      <c r="E1" s="65"/>
      <c r="F1" s="65"/>
      <c r="G1" s="65"/>
      <c r="H1" s="65"/>
      <c r="I1" s="65"/>
      <c r="J1" s="65"/>
    </row>
    <row r="2" spans="1:10">
      <c r="A2" s="1">
        <v>39963</v>
      </c>
      <c r="C2" t="s">
        <v>45</v>
      </c>
      <c r="D2" s="66" t="s">
        <v>1</v>
      </c>
      <c r="E2" s="66"/>
      <c r="F2" s="66"/>
      <c r="G2" s="66"/>
      <c r="H2" s="66"/>
      <c r="I2" s="66"/>
      <c r="J2" s="66"/>
    </row>
    <row r="3" spans="1:10">
      <c r="A3" s="1">
        <v>39963</v>
      </c>
      <c r="C3" t="s">
        <v>45</v>
      </c>
      <c r="D3" s="66" t="s">
        <v>2</v>
      </c>
      <c r="E3" s="66"/>
      <c r="F3" s="66"/>
      <c r="G3" s="66"/>
      <c r="H3" s="66"/>
      <c r="I3" s="66"/>
      <c r="J3" s="66"/>
    </row>
    <row r="4" spans="1:10" ht="13.5" thickBot="1">
      <c r="C4" t="s">
        <v>45</v>
      </c>
    </row>
    <row r="5" spans="1:10" ht="9" customHeight="1" thickTop="1">
      <c r="C5" t="s">
        <v>45</v>
      </c>
      <c r="D5" s="13"/>
      <c r="E5" s="14"/>
      <c r="F5" s="14"/>
      <c r="G5" s="14"/>
      <c r="H5" s="14"/>
      <c r="I5" s="14"/>
      <c r="J5" s="15"/>
    </row>
    <row r="6" spans="1:10" ht="15.75">
      <c r="A6" s="1">
        <f>$A$2-DAY($A$2)+IF(MONTH(A2)=5,-DAY($A$2-DAY($A$2))+1,1)</f>
        <v>39904</v>
      </c>
      <c r="C6" t="s">
        <v>45</v>
      </c>
      <c r="D6" s="67" t="s">
        <v>3</v>
      </c>
      <c r="E6" s="68"/>
      <c r="F6" s="68"/>
      <c r="G6" s="68"/>
      <c r="H6" s="68"/>
      <c r="I6" s="68"/>
      <c r="J6" s="69"/>
    </row>
    <row r="7" spans="1:10" ht="9" customHeight="1" thickBot="1">
      <c r="C7" t="s">
        <v>45</v>
      </c>
      <c r="D7" s="16"/>
      <c r="E7" s="17"/>
      <c r="F7" s="17"/>
      <c r="G7" s="17"/>
      <c r="H7" s="17"/>
      <c r="I7" s="17"/>
      <c r="J7" s="18"/>
    </row>
    <row r="8" spans="1:10" ht="13.5" thickTop="1">
      <c r="C8" t="s">
        <v>45</v>
      </c>
    </row>
    <row r="9" spans="1:10" ht="15">
      <c r="C9" t="s">
        <v>45</v>
      </c>
      <c r="D9" s="64" t="str">
        <f>"For the issue of " &amp; UPPER(TEXT($A$2,"MMMM YYYY"))</f>
        <v>For the issue of MAY 2009</v>
      </c>
      <c r="E9" s="64"/>
      <c r="F9" s="64"/>
      <c r="G9" s="64"/>
      <c r="H9" s="64"/>
      <c r="I9" s="64"/>
      <c r="J9" s="64"/>
    </row>
    <row r="10" spans="1:10">
      <c r="A10" t="e">
        <f ca="1">"SELECT SUM(wmm.copies) AS cps FROM wmm,clients WHERE (clients.id = wmm.clientid) and (wmm.subsdate &lt;= #" &amp; XLSSQLDATE($A$2) &amp; " 23:59:59#) and (wmm.enddate &gt;= #" &amp; XLSSQLDATE($A$6) &amp; "#)" &amp; $B$10</f>
        <v>#NAME?</v>
      </c>
      <c r="B10" t="e">
        <f ca="1">IF(OR(($A$3=0),TRIM($A$3="")),""," and (wmm.adddate &lt;= #" &amp; XLSSQLDATE($A$6) &amp; " 23:59:59#)")</f>
        <v>#NAME?</v>
      </c>
      <c r="C10" t="s">
        <v>54</v>
      </c>
    </row>
    <row r="11" spans="1:10" ht="13.5" thickBot="1">
      <c r="A11" t="e">
        <f ca="1">A10</f>
        <v>#NAME?</v>
      </c>
      <c r="B11" t="e">
        <f ca="1">XLRMACRO("WMM_EXPR",$A$10)</f>
        <v>#NAME?</v>
      </c>
      <c r="C11" t="s">
        <v>45</v>
      </c>
      <c r="G11" s="21" t="s">
        <v>4</v>
      </c>
      <c r="H11" s="21" t="s">
        <v>5</v>
      </c>
      <c r="I11" s="21" t="s">
        <v>6</v>
      </c>
    </row>
    <row r="12" spans="1:10" ht="4.5" customHeight="1">
      <c r="C12" t="s">
        <v>45</v>
      </c>
      <c r="D12" s="2"/>
      <c r="E12" s="3"/>
      <c r="F12" s="3"/>
      <c r="G12" s="3"/>
      <c r="H12" s="3"/>
      <c r="I12" s="3"/>
      <c r="J12" s="4"/>
    </row>
    <row r="13" spans="1:10">
      <c r="C13" t="s">
        <v>45</v>
      </c>
      <c r="D13" s="5"/>
      <c r="E13" s="19" t="s">
        <v>7</v>
      </c>
      <c r="F13" s="6" t="s">
        <v>48</v>
      </c>
      <c r="G13" s="11"/>
      <c r="H13" s="11"/>
      <c r="I13" s="11"/>
      <c r="J13" s="7"/>
    </row>
    <row r="14" spans="1:10">
      <c r="A14" t="s">
        <v>40</v>
      </c>
      <c r="B14" t="str">
        <f>"'" &amp; SUBSTITUTE($A14,",","','") &amp; "'"</f>
        <v>'BP','CHAP','REL','RELMEN','RELWOMEN','PAR'</v>
      </c>
      <c r="C14" t="s">
        <v>45</v>
      </c>
      <c r="D14" s="5"/>
      <c r="E14" s="6" t="s">
        <v>8</v>
      </c>
      <c r="F14" s="11" t="e">
        <f ca="1">XLSSQLVALUE("&amp;WMM_EXPR and (clients.type IN ('" &amp; SUBSTITUTE($A14,",","','") &amp; "')) and (wmm.paymtmasses &gt; 0)")</f>
        <v>#NAME?</v>
      </c>
      <c r="G14" s="11" t="e">
        <f ca="1">XLSSQLVALUE("&amp;WMM_EXPR and (clients.type IN (" &amp; $B14 &amp; ")) and (clients.acode NOT LIKE '%ZONE%')")</f>
        <v>#NAME?</v>
      </c>
      <c r="H14" s="11" t="e">
        <f ca="1">XLSSQLVALUE("&amp;WMM_EXPR and (clients.type IN (" &amp; $B14 &amp; ")) and (clients.acode LIKE '%ZONE%')")</f>
        <v>#NAME?</v>
      </c>
      <c r="I14" s="11" t="e">
        <f t="shared" ref="I14:I19" ca="1" si="0">SUM(G14:H14)</f>
        <v>#NAME?</v>
      </c>
      <c r="J14" s="7"/>
    </row>
    <row r="15" spans="1:10">
      <c r="A15" t="s">
        <v>43</v>
      </c>
      <c r="B15" t="str">
        <f>"'" &amp; SUBSTITUTE($A15,",","','") &amp; "'"</f>
        <v>'LAY','VARIOUS','EXC'</v>
      </c>
      <c r="C15" t="s">
        <v>45</v>
      </c>
      <c r="D15" s="5"/>
      <c r="E15" s="6" t="s">
        <v>9</v>
      </c>
      <c r="F15" s="11" t="e">
        <f ca="1">XLSSQLVALUE("&amp;WMM_EXPR and (clients.type IN ('" &amp; SUBSTITUTE($A15,",","','") &amp; "')) and (wmm.paymtmasses &gt; 0)")</f>
        <v>#NAME?</v>
      </c>
      <c r="G15" s="11" t="e">
        <f ca="1">XLSSQLVALUE("&amp;WMM_EXPR and (clients.type IN (" &amp; $B15 &amp; ")) and (clients.acode NOT LIKE '%ZONE%')")</f>
        <v>#NAME?</v>
      </c>
      <c r="H15" s="11" t="e">
        <f ca="1">XLSSQLVALUE("&amp;WMM_EXPR and (clients.type IN (" &amp; $B15 &amp; ")) and (clients.acode LIKE '%ZONE%')")</f>
        <v>#NAME?</v>
      </c>
      <c r="I15" s="11" t="e">
        <f t="shared" ca="1" si="0"/>
        <v>#NAME?</v>
      </c>
      <c r="J15" s="7"/>
    </row>
    <row r="16" spans="1:10">
      <c r="A16" t="s">
        <v>41</v>
      </c>
      <c r="B16" t="str">
        <f>"'" &amp; SUBSTITUTE($A16,",","','") &amp; "'"</f>
        <v>'SCH','LIB'</v>
      </c>
      <c r="C16" t="s">
        <v>45</v>
      </c>
      <c r="D16" s="5"/>
      <c r="E16" s="6" t="s">
        <v>10</v>
      </c>
      <c r="F16" s="11" t="e">
        <f ca="1">XLSSQLVALUE("&amp;WMM_EXPR and (clients.type IN ('" &amp; SUBSTITUTE($A16,",","','") &amp; "')) and (wmm.paymtmasses &gt; 0)")</f>
        <v>#NAME?</v>
      </c>
      <c r="G16" s="11" t="e">
        <f ca="1">XLSSQLVALUE("&amp;WMM_EXPR and (clients.type IN (" &amp; $B16 &amp; ")) and (clients.acode NOT LIKE '%ZONE%')")</f>
        <v>#NAME?</v>
      </c>
      <c r="H16" s="11" t="e">
        <f ca="1">XLSSQLVALUE("&amp;WMM_EXPR and (clients.type IN (" &amp; $B16 &amp; ")) and (clients.acode LIKE '%ZONE%')")</f>
        <v>#NAME?</v>
      </c>
      <c r="I16" s="11" t="e">
        <f t="shared" ca="1" si="0"/>
        <v>#NAME?</v>
      </c>
      <c r="J16" s="7"/>
    </row>
    <row r="17" spans="1:10">
      <c r="A17" t="s">
        <v>42</v>
      </c>
      <c r="B17" t="str">
        <f>"'" &amp; SUBSTITUTE($A17,",","','") &amp; "'"</f>
        <v>'MIN'</v>
      </c>
      <c r="C17" t="s">
        <v>45</v>
      </c>
      <c r="D17" s="5"/>
      <c r="E17" s="6" t="s">
        <v>11</v>
      </c>
      <c r="F17" s="11" t="e">
        <f ca="1">XLSSQLVALUE("&amp;WMM_EXPR and (clients.type IN ('" &amp; SUBSTITUTE($A17,",","','") &amp; "')) and (wmm.paymtmasses &gt; 0)")</f>
        <v>#NAME?</v>
      </c>
      <c r="G17" s="11" t="e">
        <f ca="1">XLSSQLVALUE("&amp;WMM_EXPR and (clients.type IN (" &amp; $B17 &amp; ")) and (clients.acode NOT LIKE '%ZONE%')")</f>
        <v>#NAME?</v>
      </c>
      <c r="H17" s="11" t="e">
        <f ca="1">XLSSQLVALUE("&amp;WMM_EXPR and (clients.type IN (" &amp; $B17 &amp; ")) and (clients.acode LIKE '%ZONE%')")</f>
        <v>#NAME?</v>
      </c>
      <c r="I17" s="11" t="e">
        <f t="shared" ca="1" si="0"/>
        <v>#NAME?</v>
      </c>
      <c r="J17" s="7"/>
    </row>
    <row r="18" spans="1:10">
      <c r="A18" t="s">
        <v>44</v>
      </c>
      <c r="B18" t="str">
        <f>"'" &amp; SUBSTITUTE($A18,",","','") &amp; "'"</f>
        <v>'GIFT'</v>
      </c>
      <c r="C18" t="s">
        <v>45</v>
      </c>
      <c r="D18" s="5"/>
      <c r="E18" s="6" t="s">
        <v>46</v>
      </c>
      <c r="F18" s="11" t="e">
        <f ca="1">XLSSQLVALUE("&amp;WMM_EXPR and (clients.type IN ('" &amp; SUBSTITUTE($A18,",","','") &amp; "')) and (wmm.paymtmasses &gt; 0)")</f>
        <v>#NAME?</v>
      </c>
      <c r="G18" s="11" t="e">
        <f ca="1">XLSSQLVALUE("&amp;WMM_EXPR and (clients.type IN (" &amp; $B18 &amp; ")) and (clients.acode NOT LIKE '%ZONE%')")</f>
        <v>#NAME?</v>
      </c>
      <c r="H18" s="11" t="e">
        <f ca="1">XLSSQLVALUE("&amp;WMM_EXPR and (clients.type IN (" &amp; $B18 &amp; ")) and (clients.acode LIKE '%ZONE%')")</f>
        <v>#NAME?</v>
      </c>
      <c r="I18" s="11" t="e">
        <f t="shared" ca="1" si="0"/>
        <v>#NAME?</v>
      </c>
      <c r="J18" s="7"/>
    </row>
    <row r="19" spans="1:10">
      <c r="C19" t="s">
        <v>45</v>
      </c>
      <c r="D19" s="5"/>
      <c r="E19" s="6" t="s">
        <v>47</v>
      </c>
      <c r="F19" s="11" t="e">
        <f ca="1">F21-SUM(F14:F18)</f>
        <v>#NAME?</v>
      </c>
      <c r="G19" s="11" t="e">
        <f ca="1">G21-SUM(G14:G18)</f>
        <v>#NAME?</v>
      </c>
      <c r="H19" s="11" t="e">
        <f ca="1">H21-SUM(H14:H18)</f>
        <v>#NAME?</v>
      </c>
      <c r="I19" s="11" t="e">
        <f t="shared" ca="1" si="0"/>
        <v>#NAME?</v>
      </c>
      <c r="J19" s="7"/>
    </row>
    <row r="20" spans="1:10" ht="3" customHeight="1">
      <c r="C20" t="s">
        <v>45</v>
      </c>
      <c r="D20" s="5"/>
      <c r="E20" s="6"/>
      <c r="F20" s="22"/>
      <c r="G20" s="22"/>
      <c r="H20" s="22"/>
      <c r="I20" s="22"/>
      <c r="J20" s="7"/>
    </row>
    <row r="21" spans="1:10">
      <c r="C21" t="s">
        <v>45</v>
      </c>
      <c r="D21" s="5"/>
      <c r="E21" s="19" t="s">
        <v>12</v>
      </c>
      <c r="F21" s="11" t="e">
        <f ca="1">XLSSQLVALUE("&amp;WMM_EXPR and (wmm.paymtmasses &gt; 0)")</f>
        <v>#NAME?</v>
      </c>
      <c r="G21" s="11" t="e">
        <f ca="1">XLSSQLVALUE("&amp;WMM_EXPR and (clients.acode NOT LIKE '%ZONE%')")</f>
        <v>#NAME?</v>
      </c>
      <c r="H21" s="11" t="e">
        <f ca="1">XLSSQLVALUE("&amp;WMM_EXPR and (clients.acode LIKE '%ZONE%')")</f>
        <v>#NAME?</v>
      </c>
      <c r="I21" s="11" t="e">
        <f ca="1">SUM(G21:H21)</f>
        <v>#NAME?</v>
      </c>
      <c r="J21" s="7"/>
    </row>
    <row r="22" spans="1:10" ht="3.75" customHeight="1" thickBot="1">
      <c r="C22" t="s">
        <v>45</v>
      </c>
      <c r="D22" s="8"/>
      <c r="E22" s="9"/>
      <c r="F22" s="9"/>
      <c r="G22" s="9"/>
      <c r="H22" s="9"/>
      <c r="I22" s="9"/>
      <c r="J22" s="10"/>
    </row>
    <row r="23" spans="1:10">
      <c r="A23" t="e">
        <f ca="1">EVALEXPR("PUBLIC __Chk,__New,__Ren",TRUE) &amp; EVALEXPR("__Chk = [SELECT x.id FROM wmm x WHERE x.clientid=wmm.clientid and x.enddate &lt; wmm.subsdate and x.enddate &gt;= wmm.subsdate-90]",TRUE)</f>
        <v>#NAME?</v>
      </c>
      <c r="C23" t="s">
        <v>45</v>
      </c>
    </row>
    <row r="24" spans="1:10">
      <c r="A24" t="str">
        <f>"SELECT COUNT(clients.id) AS totclients FROM clients "</f>
        <v xml:space="preserve">SELECT COUNT(clients.id) AS totclients FROM clients </v>
      </c>
      <c r="B24" t="e">
        <f ca="1">"SELECT wmm.clientid FROM wmm WHERE (clientid = clients.id) and (wmm.adddate BETWEEN #" &amp; XLSSQLDATE($A$6) &amp; "# and #" &amp; XLSSQLDATE($A$2) &amp; "#)"</f>
        <v>#NAME?</v>
      </c>
      <c r="C24" t="s">
        <v>45</v>
      </c>
      <c r="E24" s="20" t="s">
        <v>13</v>
      </c>
    </row>
    <row r="25" spans="1:10">
      <c r="A25" t="e">
        <f ca="1">"[" &amp; $A$24 &amp; " WHERE clients.id IN (" &amp; $B$24 &amp; " and NOT EXISTS (]+__Chk+[))]"</f>
        <v>#NAME?</v>
      </c>
      <c r="B25" t="e">
        <f ca="1">EVALEXPR("__New = " &amp; $A25,TRUE)</f>
        <v>#NAME?</v>
      </c>
      <c r="C25" t="s">
        <v>45</v>
      </c>
      <c r="E25" t="s">
        <v>14</v>
      </c>
      <c r="I25" s="11" t="e">
        <f ca="1">EVALEXPR("XLS_SqlSelectValue(__New,[IIF(ISNULL(totclients),0,totclients)])")</f>
        <v>#NAME?</v>
      </c>
    </row>
    <row r="26" spans="1:10">
      <c r="A26" t="e">
        <f ca="1">"[" &amp; $A$24 &amp; " WHERE clients.id IN (" &amp; $B$24 &amp; " and EXISTS (]+__Chk+[))]"</f>
        <v>#NAME?</v>
      </c>
      <c r="B26" t="e">
        <f ca="1">EVALEXPR("__Ren = " &amp; $A26,TRUE)</f>
        <v>#NAME?</v>
      </c>
      <c r="C26" t="s">
        <v>45</v>
      </c>
      <c r="E26" t="s">
        <v>15</v>
      </c>
      <c r="I26" s="11" t="e">
        <f ca="1">EVALEXPR("XLS_SqlSelectValue(__Ren,[IIF(ISNULL(totclients),0,totclients)])")</f>
        <v>#NAME?</v>
      </c>
    </row>
    <row r="27" spans="1:10">
      <c r="A27" t="str">
        <f>"SELECT COUNT(clients.id) AS totclients FROM clients "</f>
        <v xml:space="preserve">SELECT COUNT(clients.id) AS totclients FROM clients </v>
      </c>
      <c r="B27" t="e">
        <f ca="1">"SELECT wmm.clientid FROM wmm WHERE (clientid = clients.id) and (wmm.enddate BETWEEN #" &amp; XLSSQLDATE($A$6) &amp; "# and #" &amp; XLSSQLDATE($A$2) &amp; "#)"</f>
        <v>#NAME?</v>
      </c>
      <c r="C27" t="s">
        <v>45</v>
      </c>
      <c r="E27" t="s">
        <v>49</v>
      </c>
      <c r="H27" t="s">
        <v>16</v>
      </c>
    </row>
    <row r="28" spans="1:10" ht="13.5" thickBot="1">
      <c r="A28" t="e">
        <f ca="1">EVALEXPR("RELEASE __Chk,__New,__Ren",TRUE)</f>
        <v>#NAME?</v>
      </c>
      <c r="C28" t="s">
        <v>45</v>
      </c>
    </row>
    <row r="29" spans="1:10" ht="5.25" customHeight="1">
      <c r="C29" t="s">
        <v>45</v>
      </c>
      <c r="D29" s="2"/>
      <c r="E29" s="3"/>
      <c r="F29" s="3"/>
      <c r="G29" s="3"/>
      <c r="H29" s="3"/>
      <c r="I29" s="3"/>
      <c r="J29" s="4"/>
    </row>
    <row r="30" spans="1:10">
      <c r="C30" t="s">
        <v>45</v>
      </c>
      <c r="D30" s="5"/>
      <c r="E30" s="19" t="s">
        <v>17</v>
      </c>
      <c r="F30" s="6"/>
      <c r="G30" s="6"/>
      <c r="H30" s="6"/>
      <c r="I30" s="6"/>
      <c r="J30" s="7"/>
    </row>
    <row r="31" spans="1:10">
      <c r="C31" t="s">
        <v>45</v>
      </c>
      <c r="D31" s="5"/>
      <c r="E31" s="6" t="s">
        <v>18</v>
      </c>
      <c r="F31" s="11"/>
      <c r="G31" s="11"/>
      <c r="H31" s="11"/>
      <c r="I31" s="11">
        <f>SUM(G31:H31)</f>
        <v>0</v>
      </c>
      <c r="J31" s="7"/>
    </row>
    <row r="32" spans="1:10">
      <c r="C32" t="s">
        <v>45</v>
      </c>
      <c r="D32" s="5"/>
      <c r="E32" s="6" t="s">
        <v>19</v>
      </c>
      <c r="F32" s="11"/>
      <c r="G32" s="11"/>
      <c r="H32" s="11"/>
      <c r="I32" s="11">
        <f>SUM(G32:H32)</f>
        <v>0</v>
      </c>
      <c r="J32" s="7"/>
    </row>
    <row r="33" spans="1:10">
      <c r="C33" t="s">
        <v>45</v>
      </c>
      <c r="D33" s="5"/>
      <c r="E33" s="6" t="s">
        <v>20</v>
      </c>
      <c r="F33" s="11"/>
      <c r="G33" s="11"/>
      <c r="H33" s="11"/>
      <c r="I33" s="11">
        <f>SUM(G33:H33)</f>
        <v>0</v>
      </c>
      <c r="J33" s="7"/>
    </row>
    <row r="34" spans="1:10" ht="3.75" customHeight="1">
      <c r="C34" t="s">
        <v>45</v>
      </c>
      <c r="D34" s="5"/>
      <c r="E34" s="6"/>
      <c r="F34" s="11"/>
      <c r="G34" s="11"/>
      <c r="H34" s="11"/>
      <c r="I34" s="11"/>
      <c r="J34" s="7"/>
    </row>
    <row r="35" spans="1:10">
      <c r="C35" t="s">
        <v>45</v>
      </c>
      <c r="D35" s="5"/>
      <c r="E35" s="19" t="s">
        <v>21</v>
      </c>
      <c r="F35" s="11"/>
      <c r="G35" s="12">
        <f>SUM(G31:G33)</f>
        <v>0</v>
      </c>
      <c r="H35" s="12">
        <f>SUM(H31:H33)</f>
        <v>0</v>
      </c>
      <c r="I35" s="12">
        <f>SUM(I31:I33)</f>
        <v>0</v>
      </c>
      <c r="J35" s="7"/>
    </row>
    <row r="36" spans="1:10" ht="4.5" customHeight="1" thickBot="1">
      <c r="C36" t="s">
        <v>45</v>
      </c>
      <c r="D36" s="8"/>
      <c r="E36" s="9"/>
      <c r="F36" s="9"/>
      <c r="G36" s="9"/>
      <c r="H36" s="9"/>
      <c r="I36" s="9"/>
      <c r="J36" s="10"/>
    </row>
    <row r="37" spans="1:10" ht="13.5" thickBot="1">
      <c r="C37" t="s">
        <v>45</v>
      </c>
    </row>
    <row r="38" spans="1:10" ht="4.5" customHeight="1">
      <c r="C38" t="s">
        <v>45</v>
      </c>
      <c r="D38" s="2"/>
      <c r="E38" s="3"/>
      <c r="F38" s="3"/>
      <c r="G38" s="3"/>
      <c r="H38" s="3"/>
      <c r="I38" s="3"/>
      <c r="J38" s="4"/>
    </row>
    <row r="39" spans="1:10">
      <c r="C39" t="s">
        <v>45</v>
      </c>
      <c r="D39" s="5"/>
      <c r="E39" s="19" t="s">
        <v>22</v>
      </c>
      <c r="F39" s="6"/>
      <c r="G39" s="11"/>
      <c r="H39" s="11"/>
      <c r="I39" s="11"/>
      <c r="J39" s="7"/>
    </row>
    <row r="40" spans="1:10">
      <c r="C40" t="s">
        <v>45</v>
      </c>
      <c r="D40" s="5"/>
      <c r="E40" s="6" t="s">
        <v>23</v>
      </c>
      <c r="F40" s="6"/>
      <c r="G40" s="11"/>
      <c r="H40" s="11"/>
      <c r="I40" s="11">
        <f>SUM(G40:H40)</f>
        <v>0</v>
      </c>
      <c r="J40" s="7"/>
    </row>
    <row r="41" spans="1:10">
      <c r="C41" t="s">
        <v>45</v>
      </c>
      <c r="D41" s="5"/>
      <c r="E41" s="6" t="s">
        <v>24</v>
      </c>
      <c r="F41" s="6"/>
      <c r="G41" s="11"/>
      <c r="H41" s="11"/>
      <c r="I41" s="11">
        <f>SUM(G41:H41)</f>
        <v>0</v>
      </c>
      <c r="J41" s="7"/>
    </row>
    <row r="42" spans="1:10">
      <c r="C42" t="s">
        <v>45</v>
      </c>
      <c r="D42" s="5"/>
      <c r="E42" s="6" t="s">
        <v>25</v>
      </c>
      <c r="F42" s="6"/>
      <c r="G42" s="11"/>
      <c r="H42" s="11"/>
      <c r="I42" s="11">
        <f>SUM(G42:H42)</f>
        <v>0</v>
      </c>
      <c r="J42" s="7"/>
    </row>
    <row r="43" spans="1:10" ht="3.75" customHeight="1">
      <c r="C43" t="s">
        <v>45</v>
      </c>
      <c r="D43" s="5"/>
      <c r="E43" s="6"/>
      <c r="F43" s="6"/>
      <c r="G43" s="22"/>
      <c r="H43" s="22"/>
      <c r="I43" s="22"/>
      <c r="J43" s="7"/>
    </row>
    <row r="44" spans="1:10">
      <c r="C44" t="s">
        <v>45</v>
      </c>
      <c r="D44" s="5"/>
      <c r="E44" s="19" t="s">
        <v>26</v>
      </c>
      <c r="F44" s="6"/>
      <c r="G44" s="12">
        <f>SUM(G40:G42)</f>
        <v>0</v>
      </c>
      <c r="H44" s="12">
        <f>SUM(H40:H42)</f>
        <v>0</v>
      </c>
      <c r="I44" s="12">
        <f>SUM(I40:I42)</f>
        <v>0</v>
      </c>
      <c r="J44" s="7"/>
    </row>
    <row r="45" spans="1:10" ht="3.75" customHeight="1" thickBot="1">
      <c r="C45" t="s">
        <v>45</v>
      </c>
      <c r="D45" s="8"/>
      <c r="E45" s="9"/>
      <c r="F45" s="9"/>
      <c r="G45" s="9"/>
      <c r="H45" s="9"/>
      <c r="I45" s="9"/>
      <c r="J45" s="10"/>
    </row>
    <row r="46" spans="1:10">
      <c r="C46" t="s">
        <v>45</v>
      </c>
    </row>
    <row r="47" spans="1:10">
      <c r="C47" t="s">
        <v>45</v>
      </c>
      <c r="E47" s="20" t="s">
        <v>27</v>
      </c>
      <c r="G47" s="23" t="e">
        <f ca="1">G21+G35+G44</f>
        <v>#NAME?</v>
      </c>
      <c r="H47" s="23" t="e">
        <f ca="1">H21+H35+H44</f>
        <v>#NAME?</v>
      </c>
      <c r="I47" s="23" t="e">
        <f ca="1">I21+I35+I44</f>
        <v>#NAME?</v>
      </c>
    </row>
    <row r="48" spans="1:10" ht="13.5" thickBot="1">
      <c r="A48" t="e">
        <f ca="1">"SELECT SUM(x.copies) AS cps FROM complimentary x,clients WHERE (clients.id = x.clientid) and (x.subsdate &lt;= #" &amp; XLSSQLDATE($A$2) &amp; "#) and (x.enddate &gt;= #" &amp; XLSSQLDATE($A$6) &amp; "#)" &amp; $B$48</f>
        <v>#NAME?</v>
      </c>
      <c r="B48" t="e">
        <f ca="1">IF(OR(($A$3=0),TRIM($A$3="")),""," and (x.adddate &lt;= #" &amp; XLSSQLDATE($A$6) &amp; " 23:59:59#)")</f>
        <v>#NAME?</v>
      </c>
      <c r="C48" t="s">
        <v>45</v>
      </c>
    </row>
    <row r="49" spans="1:10" ht="5.25" customHeight="1">
      <c r="C49" t="s">
        <v>45</v>
      </c>
      <c r="D49" s="2"/>
      <c r="E49" s="3"/>
      <c r="F49" s="3"/>
      <c r="G49" s="3"/>
      <c r="H49" s="3"/>
      <c r="I49" s="3"/>
      <c r="J49" s="4"/>
    </row>
    <row r="50" spans="1:10">
      <c r="B50" t="e">
        <f ca="1">XLRMACRO("WMM_EXPR",$A$48)</f>
        <v>#NAME?</v>
      </c>
      <c r="C50" t="s">
        <v>45</v>
      </c>
      <c r="D50" s="5"/>
      <c r="E50" s="19" t="s">
        <v>28</v>
      </c>
      <c r="F50" s="6"/>
      <c r="G50" s="11"/>
      <c r="H50" s="11"/>
      <c r="I50" s="11"/>
      <c r="J50" s="7"/>
    </row>
    <row r="51" spans="1:10">
      <c r="A51" t="s">
        <v>50</v>
      </c>
      <c r="B51" t="str">
        <f>"'" &amp; SUBSTITUTE($A51,",","','") &amp; "'"</f>
        <v>'PAR'</v>
      </c>
      <c r="C51" t="s">
        <v>45</v>
      </c>
      <c r="D51" s="5"/>
      <c r="E51" s="6" t="s">
        <v>29</v>
      </c>
      <c r="F51" s="6"/>
      <c r="G51" s="11" t="e">
        <f ca="1">XLSSQLVALUE("&amp;WMM_EXPR and (clients.type IN (" &amp; $B51 &amp; ")) and (clients.acode NOT LIKE '%ZONE%')")</f>
        <v>#NAME?</v>
      </c>
      <c r="H51" s="11" t="e">
        <f ca="1">XLSSQLVALUE("&amp;WMM_EXPR and (clients.type IN (" &amp; $B51 &amp; ")) and (clients.acode LIKE '%ZONE%')")</f>
        <v>#NAME?</v>
      </c>
      <c r="I51" s="11" t="e">
        <f t="shared" ref="I51:I56" ca="1" si="1">SUM(G51:H51)</f>
        <v>#NAME?</v>
      </c>
      <c r="J51" s="7"/>
    </row>
    <row r="52" spans="1:10">
      <c r="A52" t="s">
        <v>52</v>
      </c>
      <c r="B52" t="str">
        <f>"'" &amp; SUBSTITUTE($A52,",","','") &amp; "'"</f>
        <v>'RELMEN','RELWOMEN','VARIOUS','MIN'</v>
      </c>
      <c r="C52" t="s">
        <v>45</v>
      </c>
      <c r="D52" s="5"/>
      <c r="E52" s="6" t="s">
        <v>30</v>
      </c>
      <c r="F52" s="6"/>
      <c r="G52" s="11" t="e">
        <f ca="1">XLSSQLVALUE("&amp;WMM_EXPR and (clients.type IN (" &amp; $B52 &amp; ")) and (clients.acode NOT LIKE '%ZONE%')")</f>
        <v>#NAME?</v>
      </c>
      <c r="H52" s="11" t="e">
        <f ca="1">XLSSQLVALUE("&amp;WMM_EXPR and (clients.type IN (" &amp; $B52 &amp; ")) and (clients.acode LIKE '%ZONE%')")</f>
        <v>#NAME?</v>
      </c>
      <c r="I52" s="11" t="e">
        <f t="shared" ca="1" si="1"/>
        <v>#NAME?</v>
      </c>
      <c r="J52" s="7"/>
    </row>
    <row r="53" spans="1:10">
      <c r="A53" t="s">
        <v>51</v>
      </c>
      <c r="B53" t="str">
        <f>"'" &amp; SUBSTITUTE($A53,",","','") &amp; "'"</f>
        <v>'EXC'</v>
      </c>
      <c r="C53" t="s">
        <v>45</v>
      </c>
      <c r="D53" s="5"/>
      <c r="E53" s="6" t="s">
        <v>31</v>
      </c>
      <c r="F53" s="6"/>
      <c r="G53" s="11" t="e">
        <f ca="1">XLSSQLVALUE("&amp;WMM_EXPR and (clients.type IN (" &amp; $B53 &amp; ")) and (clients.acode NOT LIKE '%ZONE%')")</f>
        <v>#NAME?</v>
      </c>
      <c r="H53" s="11" t="e">
        <f ca="1">XLSSQLVALUE("&amp;WMM_EXPR and (clients.type IN (" &amp; $B53 &amp; ")) and (clients.acode LIKE '%ZONE%')")</f>
        <v>#NAME?</v>
      </c>
      <c r="I53" s="11" t="e">
        <f t="shared" ca="1" si="1"/>
        <v>#NAME?</v>
      </c>
      <c r="J53" s="7"/>
    </row>
    <row r="54" spans="1:10">
      <c r="A54" t="s">
        <v>41</v>
      </c>
      <c r="B54" t="str">
        <f>"'" &amp; SUBSTITUTE($A54,",","','") &amp; "'"</f>
        <v>'SCH','LIB'</v>
      </c>
      <c r="C54" t="s">
        <v>45</v>
      </c>
      <c r="D54" s="5"/>
      <c r="E54" s="6" t="s">
        <v>32</v>
      </c>
      <c r="F54" s="6"/>
      <c r="G54" s="11" t="e">
        <f ca="1">XLSSQLVALUE("&amp;WMM_EXPR and (clients.type IN (" &amp; $B54 &amp; ")) and (clients.acode NOT LIKE '%ZONE%')")</f>
        <v>#NAME?</v>
      </c>
      <c r="H54" s="11" t="e">
        <f ca="1">XLSSQLVALUE("&amp;WMM_EXPR and (clients.type IN (" &amp; $B54 &amp; ")) and (clients.acode LIKE '%ZONE%')")</f>
        <v>#NAME?</v>
      </c>
      <c r="I54" s="11" t="e">
        <f t="shared" ca="1" si="1"/>
        <v>#NAME?</v>
      </c>
      <c r="J54" s="7"/>
    </row>
    <row r="55" spans="1:10">
      <c r="A55" t="s">
        <v>44</v>
      </c>
      <c r="B55" t="str">
        <f>"'" &amp; SUBSTITUTE($A55,",","','") &amp; "'"</f>
        <v>'GIFT'</v>
      </c>
      <c r="C55" t="s">
        <v>45</v>
      </c>
      <c r="D55" s="5"/>
      <c r="E55" s="6" t="s">
        <v>33</v>
      </c>
      <c r="F55" s="6"/>
      <c r="G55" s="11" t="e">
        <f ca="1">XLSSQLVALUE("&amp;WMM_EXPR and (clients.type IN (" &amp; $B55 &amp; ")) and (clients.acode NOT LIKE '%ZONE%')")</f>
        <v>#NAME?</v>
      </c>
      <c r="H55" s="11" t="e">
        <f ca="1">XLSSQLVALUE("&amp;WMM_EXPR and (clients.type IN (" &amp; $B55 &amp; ")) and (clients.acode LIKE '%ZONE%')")</f>
        <v>#NAME?</v>
      </c>
      <c r="I55" s="11" t="e">
        <f t="shared" ca="1" si="1"/>
        <v>#NAME?</v>
      </c>
      <c r="J55" s="7"/>
    </row>
    <row r="56" spans="1:10">
      <c r="C56" t="s">
        <v>45</v>
      </c>
      <c r="D56" s="5"/>
      <c r="E56" s="6" t="s">
        <v>47</v>
      </c>
      <c r="F56" s="6"/>
      <c r="G56" s="11" t="e">
        <f ca="1">G58-SUM(G51:G53)</f>
        <v>#NAME?</v>
      </c>
      <c r="H56" s="11" t="e">
        <f ca="1">H58-SUM(H51:H53)</f>
        <v>#NAME?</v>
      </c>
      <c r="I56" s="11" t="e">
        <f t="shared" ca="1" si="1"/>
        <v>#NAME?</v>
      </c>
      <c r="J56" s="7"/>
    </row>
    <row r="57" spans="1:10" ht="3.75" customHeight="1">
      <c r="C57" t="s">
        <v>45</v>
      </c>
      <c r="D57" s="5"/>
      <c r="E57" s="6"/>
      <c r="F57" s="6"/>
      <c r="G57" s="22"/>
      <c r="H57" s="22"/>
      <c r="I57" s="22"/>
      <c r="J57" s="7"/>
    </row>
    <row r="58" spans="1:10">
      <c r="C58" t="s">
        <v>45</v>
      </c>
      <c r="D58" s="5"/>
      <c r="E58" s="19" t="s">
        <v>34</v>
      </c>
      <c r="F58" s="6"/>
      <c r="G58" s="11" t="e">
        <f ca="1">XLSSQLVALUE("&amp;WMM_EXPR and (clients.acode NOT LIKE '%ZONE%')")</f>
        <v>#NAME?</v>
      </c>
      <c r="H58" s="11" t="e">
        <f ca="1">XLSSQLVALUE("&amp;WMM_EXPR and (clients.acode LIKE '%ZONE%')")</f>
        <v>#NAME?</v>
      </c>
      <c r="I58" s="11" t="e">
        <f ca="1">SUM(G58:H58)</f>
        <v>#NAME?</v>
      </c>
      <c r="J58" s="7"/>
    </row>
    <row r="59" spans="1:10" ht="4.5" customHeight="1" thickBot="1">
      <c r="C59" t="s">
        <v>45</v>
      </c>
      <c r="D59" s="8"/>
      <c r="E59" s="9"/>
      <c r="F59" s="9"/>
      <c r="G59" s="9"/>
      <c r="H59" s="9"/>
      <c r="I59" s="9"/>
      <c r="J59" s="10"/>
    </row>
    <row r="60" spans="1:10">
      <c r="C60" t="s">
        <v>45</v>
      </c>
    </row>
    <row r="61" spans="1:10">
      <c r="C61" t="s">
        <v>45</v>
      </c>
      <c r="E61" s="20" t="s">
        <v>35</v>
      </c>
      <c r="G61" s="23">
        <v>0</v>
      </c>
      <c r="H61" s="23">
        <v>0</v>
      </c>
      <c r="I61" s="23">
        <v>0</v>
      </c>
    </row>
    <row r="62" spans="1:10">
      <c r="C62" t="s">
        <v>45</v>
      </c>
      <c r="E62" s="20" t="s">
        <v>36</v>
      </c>
      <c r="G62" s="23" t="e">
        <f ca="1">G47+G58+G61</f>
        <v>#NAME?</v>
      </c>
      <c r="H62" s="23" t="e">
        <f ca="1">H47+H58+H61</f>
        <v>#NAME?</v>
      </c>
      <c r="I62" s="23" t="e">
        <f ca="1">I47+I58+I61</f>
        <v>#NAME?</v>
      </c>
    </row>
    <row r="63" spans="1:10">
      <c r="C63" t="s">
        <v>45</v>
      </c>
      <c r="E63" s="20" t="s">
        <v>37</v>
      </c>
      <c r="G63" s="23"/>
      <c r="H63" s="23"/>
      <c r="I63" s="23">
        <v>0</v>
      </c>
    </row>
    <row r="64" spans="1:10" ht="13.5" thickBot="1">
      <c r="C64" t="s">
        <v>45</v>
      </c>
      <c r="E64" s="20" t="s">
        <v>38</v>
      </c>
      <c r="G64" s="23"/>
      <c r="H64" s="23"/>
      <c r="I64" s="24" t="e">
        <f ca="1">I63-I62</f>
        <v>#NAME?</v>
      </c>
    </row>
    <row r="65" spans="1:7" ht="13.5" thickTop="1">
      <c r="C65" t="s">
        <v>45</v>
      </c>
    </row>
    <row r="66" spans="1:7">
      <c r="A66" t="e">
        <f ca="1">EVALEXPR("RELEASE __Type__",TRUE)</f>
        <v>#NAME?</v>
      </c>
      <c r="C66" t="s">
        <v>45</v>
      </c>
      <c r="G66" t="s">
        <v>39</v>
      </c>
    </row>
    <row r="67" spans="1:7">
      <c r="A67" t="e">
        <f ca="1">XLSMACROCLEAR("WMM_EXPR")</f>
        <v>#NAME?</v>
      </c>
      <c r="C67" t="s">
        <v>45</v>
      </c>
    </row>
    <row r="68" spans="1:7">
      <c r="C68" t="s">
        <v>45</v>
      </c>
    </row>
    <row r="69" spans="1:7">
      <c r="C69" t="s">
        <v>45</v>
      </c>
      <c r="G69" t="s">
        <v>53</v>
      </c>
    </row>
    <row r="70" spans="1:7">
      <c r="C70" t="s">
        <v>45</v>
      </c>
    </row>
    <row r="71" spans="1:7">
      <c r="C71" t="s">
        <v>45</v>
      </c>
    </row>
  </sheetData>
  <mergeCells count="6">
    <mergeCell ref="D9:J9"/>
    <mergeCell ref="A1:C1"/>
    <mergeCell ref="D1:J1"/>
    <mergeCell ref="D2:J2"/>
    <mergeCell ref="D3:J3"/>
    <mergeCell ref="D6:J6"/>
  </mergeCells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R89"/>
  <sheetViews>
    <sheetView tabSelected="1" workbookViewId="0">
      <selection activeCell="V31" sqref="V31"/>
    </sheetView>
  </sheetViews>
  <sheetFormatPr defaultRowHeight="12.75"/>
  <cols>
    <col min="1" max="1" width="10.28515625" customWidth="1"/>
    <col min="2" max="2" width="10.42578125" customWidth="1"/>
    <col min="3" max="4" width="8.42578125" hidden="1" customWidth="1"/>
    <col min="5" max="5" width="2.42578125" customWidth="1"/>
    <col min="6" max="6" width="27" customWidth="1"/>
    <col min="8" max="8" width="4.7109375" customWidth="1"/>
    <col min="9" max="9" width="3.7109375" customWidth="1"/>
    <col min="10" max="10" width="19.85546875" customWidth="1"/>
    <col min="11" max="11" width="3.140625" customWidth="1"/>
    <col min="12" max="12" width="18.5703125" customWidth="1"/>
    <col min="13" max="13" width="9.7109375" customWidth="1"/>
    <col min="14" max="14" width="2" customWidth="1"/>
    <col min="15" max="15" width="2.140625" customWidth="1"/>
    <col min="16" max="16" width="16.42578125" customWidth="1"/>
  </cols>
  <sheetData>
    <row r="1" spans="1:12">
      <c r="A1" s="62"/>
      <c r="B1" s="62"/>
      <c r="C1" s="62"/>
      <c r="D1" s="62"/>
      <c r="E1" s="62"/>
    </row>
    <row r="3" spans="1:12" ht="18">
      <c r="A3" s="1">
        <v>41090</v>
      </c>
      <c r="B3" s="1">
        <v>41090</v>
      </c>
      <c r="C3" t="e">
        <f ca="1">XLRMACRO("HRG_COUNT","SELECT COUNT(a.id) FROM hrg a")</f>
        <v>#NAME?</v>
      </c>
      <c r="D3" t="e">
        <f ca="1">XLRMACRO("HRG_CUTOFF",IF(AND(ISNUMBER($B$3),$B$3&lt;&gt;0)," and (a.adddate &lt;= #" &amp; XLSSQLDATE($B$3) &amp; " 23:59:59#)",""))</f>
        <v>#NAME?</v>
      </c>
      <c r="E3" s="1" t="s">
        <v>45</v>
      </c>
      <c r="F3" s="60" t="str">
        <f>"HOLY REDEEMER GUILD - CAMPAIGN " &amp; TEXT($A$3,"YYYY")</f>
        <v>HOLY REDEEMER GUILD - CAMPAIGN 2012</v>
      </c>
      <c r="G3" s="61"/>
      <c r="H3" s="61"/>
      <c r="I3" s="61"/>
      <c r="J3" s="61"/>
      <c r="K3" s="61"/>
      <c r="L3" s="61"/>
    </row>
    <row r="4" spans="1:12" ht="15">
      <c r="C4" t="e">
        <f ca="1">XLRMACRO("HRG_SUM","SELECT SUM(a.paymtamt) FROM hrg a")</f>
        <v>#NAME?</v>
      </c>
      <c r="E4" s="1" t="s">
        <v>45</v>
      </c>
      <c r="F4" s="26"/>
      <c r="G4" s="26"/>
      <c r="H4" s="26"/>
      <c r="I4" s="26"/>
      <c r="J4" s="26"/>
      <c r="K4" s="26"/>
    </row>
    <row r="5" spans="1:12" ht="15">
      <c r="A5" s="1">
        <v>40848</v>
      </c>
      <c r="B5" s="1">
        <f>DATE(YEAR($A$5)-1,MONTH($A$5),1)</f>
        <v>40483</v>
      </c>
      <c r="C5" t="e">
        <f ca="1">XLRMACRO("HRG_FILTCURR","(a.campaigndate BETWEEN #" &amp; XLSSQLDATE($A$5) &amp; " 00:00:00# and #" &amp; XLSSQLDATE($A$5) &amp; " 23:59:59#)")</f>
        <v>#NAME?</v>
      </c>
      <c r="D5" t="e">
        <f ca="1">XLRMACRO("HRG_FILTPREV","(a.campaigndate BETWEEN #" &amp; XLSSQLDATE($B$5) &amp; " 00:00:00# and #" &amp; XLSSQLDATE($B$5) &amp; " 23:59:59#)")</f>
        <v>#NAME?</v>
      </c>
      <c r="E5" s="1" t="s">
        <v>45</v>
      </c>
      <c r="F5" s="26"/>
      <c r="G5" s="26"/>
      <c r="H5" s="26"/>
      <c r="I5" s="26"/>
      <c r="J5" s="26"/>
      <c r="K5" s="26"/>
    </row>
    <row r="6" spans="1:12" ht="15">
      <c r="B6" s="1">
        <f>DATE(YEAR($A$5)+1,MONTH($A$5),1)</f>
        <v>41214</v>
      </c>
      <c r="D6" t="e">
        <f ca="1">XLRMACRO("HRG_FILTNEXT","(a.campaigndate BETWEEN #" &amp; XLSSQLDATE($B$6) &amp; " 00:00:00# and #" &amp; XLSSQLDATE($B$6) &amp; " 23:59:59#)")</f>
        <v>#NAME?</v>
      </c>
      <c r="E6" s="1" t="s">
        <v>45</v>
      </c>
      <c r="F6" s="27" t="s">
        <v>55</v>
      </c>
      <c r="G6" s="28" t="s">
        <v>56</v>
      </c>
      <c r="H6" s="29"/>
      <c r="I6" s="29"/>
      <c r="J6" s="28" t="s">
        <v>57</v>
      </c>
      <c r="K6" s="28"/>
    </row>
    <row r="7" spans="1:12" ht="14.25">
      <c r="E7" s="1" t="s">
        <v>45</v>
      </c>
      <c r="F7" s="29" t="s">
        <v>69</v>
      </c>
      <c r="G7" s="29"/>
      <c r="H7" s="29"/>
      <c r="I7" s="29"/>
      <c r="J7" s="29"/>
      <c r="K7" s="29"/>
    </row>
    <row r="8" spans="1:12" ht="14.25">
      <c r="A8" s="1"/>
      <c r="E8" s="1" t="s">
        <v>45</v>
      </c>
      <c r="F8" s="29" t="str">
        <f>"   (AUG. " &amp; UPPER(TEXT($A$3,"YYYY")) &amp; ")"</f>
        <v xml:space="preserve">   (AUG. 2012)</v>
      </c>
      <c r="G8" s="29"/>
      <c r="H8" s="29"/>
      <c r="I8" s="29"/>
      <c r="J8" s="29"/>
      <c r="K8" s="29"/>
    </row>
    <row r="9" spans="1:12" ht="15.75">
      <c r="E9" s="1" t="s">
        <v>45</v>
      </c>
      <c r="F9" s="30"/>
      <c r="G9" s="26"/>
      <c r="H9" s="26"/>
      <c r="I9" s="26"/>
      <c r="J9" s="26"/>
      <c r="K9" s="26"/>
    </row>
    <row r="10" spans="1:12" ht="15">
      <c r="E10" s="1" t="s">
        <v>45</v>
      </c>
      <c r="F10" s="29" t="s">
        <v>58</v>
      </c>
      <c r="G10" s="31"/>
      <c r="H10" s="32"/>
      <c r="I10" s="31" t="s">
        <v>70</v>
      </c>
      <c r="J10" s="40"/>
      <c r="K10" s="29"/>
    </row>
    <row r="11" spans="1:12" ht="15">
      <c r="A11" s="55"/>
      <c r="B11" s="55"/>
      <c r="C11" s="55"/>
      <c r="D11" s="55"/>
      <c r="E11" s="1" t="s">
        <v>45</v>
      </c>
      <c r="F11" s="29" t="s">
        <v>59</v>
      </c>
      <c r="G11" s="31"/>
      <c r="H11" s="32"/>
      <c r="I11" s="31" t="s">
        <v>70</v>
      </c>
      <c r="J11" s="40"/>
      <c r="K11" s="29"/>
    </row>
    <row r="12" spans="1:12" ht="15">
      <c r="A12" s="56"/>
      <c r="B12" s="56"/>
      <c r="C12" s="57"/>
      <c r="D12" s="57"/>
      <c r="E12" s="1" t="s">
        <v>45</v>
      </c>
      <c r="F12" s="29" t="s">
        <v>60</v>
      </c>
      <c r="G12" s="31"/>
      <c r="H12" s="32"/>
      <c r="I12" s="31" t="s">
        <v>70</v>
      </c>
      <c r="J12" s="40"/>
      <c r="K12" s="29"/>
    </row>
    <row r="13" spans="1:12" ht="15">
      <c r="A13" s="56"/>
      <c r="B13" s="56"/>
      <c r="C13" s="57"/>
      <c r="D13" s="57"/>
      <c r="E13" s="1" t="s">
        <v>45</v>
      </c>
      <c r="F13" s="29" t="s">
        <v>61</v>
      </c>
      <c r="G13" s="33"/>
      <c r="H13" s="34"/>
      <c r="I13" s="31" t="s">
        <v>70</v>
      </c>
      <c r="J13" s="41"/>
      <c r="K13" s="46"/>
    </row>
    <row r="14" spans="1:12" ht="15">
      <c r="A14" s="58"/>
      <c r="B14" s="58"/>
      <c r="C14" s="58"/>
      <c r="D14" s="58"/>
      <c r="E14" s="1" t="s">
        <v>45</v>
      </c>
      <c r="F14" s="29"/>
      <c r="G14" s="29"/>
      <c r="H14" s="32"/>
      <c r="I14" s="32"/>
      <c r="J14" s="40"/>
      <c r="K14" s="29"/>
    </row>
    <row r="15" spans="1:12" ht="16.5" thickBot="1">
      <c r="A15" s="58"/>
      <c r="B15" s="58"/>
      <c r="C15" s="58"/>
      <c r="D15" s="58"/>
      <c r="E15" s="1" t="s">
        <v>45</v>
      </c>
      <c r="F15" s="35" t="s">
        <v>62</v>
      </c>
      <c r="G15" s="32">
        <f>SUM(G10:G13)</f>
        <v>0</v>
      </c>
      <c r="H15" s="29"/>
      <c r="I15" s="28" t="s">
        <v>70</v>
      </c>
      <c r="J15" s="49">
        <f>SUM(J10:J13)</f>
        <v>0</v>
      </c>
      <c r="K15" s="47"/>
    </row>
    <row r="16" spans="1:12" ht="15.75" thickTop="1">
      <c r="A16" s="58"/>
      <c r="B16" s="58"/>
      <c r="C16" s="58"/>
      <c r="D16" s="58"/>
      <c r="E16" s="1" t="s">
        <v>45</v>
      </c>
      <c r="F16" s="26"/>
      <c r="G16" s="26"/>
      <c r="H16" s="26"/>
      <c r="I16" s="26"/>
      <c r="J16" s="26"/>
      <c r="K16" s="26"/>
    </row>
    <row r="17" spans="1:18" ht="15">
      <c r="A17" s="55"/>
      <c r="B17" s="55"/>
      <c r="C17" s="55"/>
      <c r="D17" s="55"/>
      <c r="E17" s="1" t="s">
        <v>45</v>
      </c>
      <c r="F17" s="26"/>
      <c r="G17" s="26"/>
      <c r="H17" s="26"/>
      <c r="I17" s="26"/>
      <c r="J17" s="26"/>
      <c r="K17" s="26"/>
    </row>
    <row r="18" spans="1:18" ht="15.75">
      <c r="A18" s="56"/>
      <c r="B18" s="56"/>
      <c r="C18" s="57"/>
      <c r="D18" s="57"/>
      <c r="E18" s="1" t="s">
        <v>45</v>
      </c>
      <c r="F18" s="26"/>
      <c r="G18" s="26"/>
      <c r="H18" s="26"/>
      <c r="I18" s="26"/>
      <c r="J18" s="28" t="s">
        <v>63</v>
      </c>
      <c r="K18" s="28"/>
    </row>
    <row r="19" spans="1:18" ht="15">
      <c r="A19" s="56"/>
      <c r="B19" s="56"/>
      <c r="C19" s="57"/>
      <c r="D19" s="57"/>
      <c r="E19" s="1" t="s">
        <v>45</v>
      </c>
      <c r="F19" s="27" t="str">
        <f>"RENEWAL (" &amp; TEXT($A$5,"yyyy") &amp; ")"</f>
        <v>RENEWAL (2011)</v>
      </c>
      <c r="G19" s="36"/>
      <c r="H19" s="36"/>
      <c r="I19" s="36"/>
      <c r="L19" s="50" t="str">
        <f>"RENEWAL (" &amp; TEXT($B$5,"yyyy") &amp; ")"</f>
        <v>RENEWAL (2010)</v>
      </c>
      <c r="M19" s="50"/>
      <c r="N19" s="50"/>
      <c r="O19" s="50"/>
      <c r="P19" s="38"/>
    </row>
    <row r="20" spans="1:18" ht="15">
      <c r="A20" s="58"/>
      <c r="B20" s="58"/>
      <c r="C20" t="e">
        <f ca="1">" and (a.paymtamt BETWEEN 250 and 999.99) and ((SELECT COUNT(b.id) FROM hrg b WHERE (b.clientid = a.clientid) and (b.campaigndate &lt; #" &amp; XLSSQLDATE($A$5) &amp; " 23:59:59#)) &gt; 0)"</f>
        <v>#NAME?</v>
      </c>
      <c r="D20" t="e">
        <f ca="1">" and (a.paymtamt BETWEEN 250 and 999.99) and ((SELECT COUNT(b.id) FROM hrg b WHERE (b.clientid = a.clientid) and (b.campaigndate &lt; #" &amp; XLSSQLDATE($B$5) &amp; " 23:59:59#)) &gt; 0)"</f>
        <v>#NAME?</v>
      </c>
      <c r="E20" s="1" t="s">
        <v>45</v>
      </c>
      <c r="F20" s="29" t="s">
        <v>64</v>
      </c>
      <c r="G20" s="37" t="e">
        <f ca="1">XLSSQLVALUE("&amp;HRG_COUNT  WHERE &amp;HRG_FILTCURR  &amp;HRG_CUTOFF " &amp; $C20)</f>
        <v>#NAME?</v>
      </c>
      <c r="H20" s="28"/>
      <c r="I20" s="31" t="s">
        <v>70</v>
      </c>
      <c r="J20" s="43" t="e">
        <f ca="1">XLSSQLVALUE("&amp;HRG_SUM  WHERE &amp;HRG_FILTCURR  &amp;HRG_CUTOFF " &amp; $C20)</f>
        <v>#NAME?</v>
      </c>
      <c r="K20" s="43"/>
      <c r="L20" s="38" t="s">
        <v>64</v>
      </c>
      <c r="M20" s="51" t="e">
        <f ca="1">XLSSQLVALUE("&amp;HRG_COUNT  WHERE &amp;HRG_FILTPREV  &amp;HRG_CUTOFF " &amp; $D20)</f>
        <v>#NAME?</v>
      </c>
      <c r="N20" s="21"/>
      <c r="O20" s="52" t="s">
        <v>70</v>
      </c>
      <c r="P20" s="53" t="e">
        <f ca="1">XLSSQLVALUE("&amp;HRG_SUM  WHERE &amp;HRG_FILTPREV  &amp;HRG_CUTOFF " &amp; $D20)</f>
        <v>#NAME?</v>
      </c>
      <c r="R20" s="37"/>
    </row>
    <row r="21" spans="1:18" ht="15">
      <c r="A21" s="58"/>
      <c r="B21" s="58"/>
      <c r="C21" t="e">
        <f ca="1">" and (a.paymtamt &gt; 999.99) and ((SELECT COUNT(b.id) FROM hrg b WHERE (b.clientid = a.clientid) and (b.campaigndate &lt; #" &amp; XLSSQLDATE($A$5) &amp; " 23:59:59#)) &gt; 0)"</f>
        <v>#NAME?</v>
      </c>
      <c r="D21" t="e">
        <f ca="1">" and (a.paymtamt &gt; 999.99) and ((SELECT COUNT(b.id) FROM hrg b WHERE (b.clientid = a.clientid) and (b.campaigndate &lt; #" &amp; XLSSQLDATE($B$5) &amp; " 23:59:59#)) &gt; 0)"</f>
        <v>#NAME?</v>
      </c>
      <c r="E21" s="1" t="s">
        <v>45</v>
      </c>
      <c r="F21" s="29" t="s">
        <v>65</v>
      </c>
      <c r="G21" s="37" t="e">
        <f ca="1">XLSSQLVALUE("&amp;HRG_COUNT  WHERE &amp;HRG_FILTCURR  &amp;HRG_CUTOFF " &amp; $C21)</f>
        <v>#NAME?</v>
      </c>
      <c r="H21" s="28"/>
      <c r="I21" s="31" t="s">
        <v>70</v>
      </c>
      <c r="J21" s="43" t="e">
        <f ca="1">XLSSQLVALUE("&amp;HRG_SUM  WHERE &amp;HRG_FILTCURR  &amp;HRG_CUTOFF " &amp; $C21)</f>
        <v>#NAME?</v>
      </c>
      <c r="K21" s="43"/>
      <c r="L21" s="38" t="s">
        <v>65</v>
      </c>
      <c r="M21" s="51" t="e">
        <f ca="1">XLSSQLVALUE("&amp;HRG_COUNT  WHERE &amp;HRG_FILTPREV  &amp;HRG_CUTOFF " &amp; $D21)</f>
        <v>#NAME?</v>
      </c>
      <c r="N21" s="21"/>
      <c r="O21" s="52" t="s">
        <v>70</v>
      </c>
      <c r="P21" s="53" t="e">
        <f ca="1">XLSSQLVALUE("&amp;HRG_SUM  WHERE &amp;HRG_FILTPREV  &amp;HRG_CUTOFF " &amp; $D21)</f>
        <v>#NAME?</v>
      </c>
    </row>
    <row r="22" spans="1:18" ht="15">
      <c r="A22" s="58"/>
      <c r="B22" s="58"/>
      <c r="C22" s="58"/>
      <c r="D22" s="58"/>
      <c r="E22" s="1" t="s">
        <v>45</v>
      </c>
      <c r="F22" s="29"/>
      <c r="G22" s="29"/>
      <c r="H22" s="29"/>
      <c r="I22" s="28" t="s">
        <v>70</v>
      </c>
      <c r="J22" s="44" t="e">
        <f ca="1">SUM(J20:J21)</f>
        <v>#NAME?</v>
      </c>
      <c r="K22" s="42"/>
      <c r="L22" s="38"/>
      <c r="M22" s="38"/>
      <c r="N22" s="38"/>
      <c r="O22" s="59" t="s">
        <v>70</v>
      </c>
      <c r="P22" s="54" t="e">
        <f ca="1">SUM(P20:P21)</f>
        <v>#NAME?</v>
      </c>
    </row>
    <row r="23" spans="1:18" ht="15">
      <c r="A23" s="56"/>
      <c r="B23" s="58"/>
      <c r="C23" s="58"/>
      <c r="D23" s="58"/>
      <c r="E23" s="1" t="s">
        <v>45</v>
      </c>
      <c r="F23" s="26"/>
      <c r="G23" s="26"/>
      <c r="H23" s="26"/>
      <c r="I23" s="26"/>
      <c r="J23" s="26"/>
      <c r="K23" s="26"/>
      <c r="L23" s="38"/>
    </row>
    <row r="24" spans="1:18" ht="15">
      <c r="A24" s="56"/>
      <c r="B24" s="56"/>
      <c r="C24" s="57"/>
      <c r="D24" s="57"/>
      <c r="E24" s="1" t="s">
        <v>45</v>
      </c>
      <c r="F24" s="26"/>
      <c r="G24" s="26"/>
      <c r="H24" s="26"/>
      <c r="I24" s="26"/>
      <c r="J24" s="26"/>
      <c r="K24" s="26"/>
      <c r="L24" s="38"/>
    </row>
    <row r="25" spans="1:18" ht="15">
      <c r="A25" s="56"/>
      <c r="B25" s="56"/>
      <c r="C25" s="57"/>
      <c r="D25" s="57"/>
      <c r="E25" s="1" t="s">
        <v>45</v>
      </c>
      <c r="F25" s="27" t="str">
        <f>"NEW MEMBER (" &amp; TEXT($A$5,"yyyy") &amp; ")"</f>
        <v>NEW MEMBER (2011)</v>
      </c>
      <c r="G25" s="36"/>
      <c r="H25" s="36"/>
      <c r="I25" s="36"/>
      <c r="J25" s="29"/>
      <c r="K25" s="29"/>
      <c r="L25" s="50" t="str">
        <f>"NEW MEMBER (" &amp; TEXT($B$5,"yyyy") &amp; ")"</f>
        <v>NEW MEMBER (2010)</v>
      </c>
      <c r="M25" s="50"/>
      <c r="N25" s="50"/>
      <c r="O25" s="50"/>
      <c r="P25" s="38"/>
    </row>
    <row r="26" spans="1:18" ht="15">
      <c r="A26" s="58"/>
      <c r="B26" s="58"/>
      <c r="C26" t="e">
        <f ca="1">" and (a.paymtamt BETWEEN 250 and 999.99) and ((SELECT COUNT(b.id) FROM hrg b WHERE (b.clientid = a.clientid) and (b.campaigndate &lt; #" &amp; XLSSQLDATE($A$5) &amp; " 23:59:59#)) = 0)"</f>
        <v>#NAME?</v>
      </c>
      <c r="D26" t="e">
        <f ca="1">" and (a.paymtamt BETWEEN 250 and 999.99) and ((SELECT COUNT(b.id) FROM hrg b WHERE (b.clientid = a.clientid) and (b.campaigndate &lt; #" &amp; XLSSQLDATE($B$5) &amp; " 23:59:59#)) = 0)"</f>
        <v>#NAME?</v>
      </c>
      <c r="E26" s="1" t="s">
        <v>45</v>
      </c>
      <c r="F26" s="29" t="s">
        <v>66</v>
      </c>
      <c r="G26" s="37" t="e">
        <f ca="1">XLSSQLVALUE("&amp;HRG_COUNT  WHERE &amp;HRG_FILTCURR  &amp;HRG_CUTOFF " &amp; $C26)</f>
        <v>#NAME?</v>
      </c>
      <c r="H26" s="28"/>
      <c r="I26" s="31" t="s">
        <v>70</v>
      </c>
      <c r="J26" s="43" t="e">
        <f ca="1">XLSSQLVALUE("&amp;HRG_SUM  WHERE &amp;HRG_FILTCURR  &amp;HRG_CUTOFF " &amp; $C26)</f>
        <v>#NAME?</v>
      </c>
      <c r="K26" s="43"/>
      <c r="L26" s="38" t="s">
        <v>64</v>
      </c>
      <c r="M26" s="51" t="e">
        <f ca="1">XLSSQLVALUE("&amp;HRG_COUNT  WHERE &amp;HRG_FILTPREV  &amp;HRG_CUTOFF " &amp; $D26)</f>
        <v>#NAME?</v>
      </c>
      <c r="N26" s="21"/>
      <c r="O26" s="52" t="s">
        <v>70</v>
      </c>
      <c r="P26" s="53" t="e">
        <f ca="1">XLSSQLVALUE("&amp;HRG_SUM  WHERE &amp;HRG_FILTPREV  &amp;HRG_CUTOFF " &amp; $D26)</f>
        <v>#NAME?</v>
      </c>
    </row>
    <row r="27" spans="1:18" ht="15">
      <c r="A27" s="58"/>
      <c r="B27" s="58"/>
      <c r="C27" t="e">
        <f ca="1">" and (a.paymtamt &gt; 999.99) and ((SELECT COUNT(b.id) FROM hrg b WHERE (b.clientid = a.clientid) and (b.campaigndate &lt; #" &amp; XLSSQLDATE($A$5) &amp; " 23:59:59#)) = 0)"</f>
        <v>#NAME?</v>
      </c>
      <c r="D27" t="e">
        <f ca="1">" and (a.paymtamt &gt; 999.99) and ((SELECT COUNT(b.id) FROM hrg b WHERE (b.clientid = a.clientid) and (b.campaigndate &lt; #" &amp; XLSSQLDATE($B$5) &amp; " 23:59:59#)) = 0)"</f>
        <v>#NAME?</v>
      </c>
      <c r="E27" s="1" t="s">
        <v>45</v>
      </c>
      <c r="F27" s="29" t="s">
        <v>65</v>
      </c>
      <c r="G27" s="37" t="e">
        <f ca="1">XLSSQLVALUE("&amp;HRG_COUNT  WHERE &amp;HRG_FILTCURR  &amp;HRG_CUTOFF " &amp; $C27)</f>
        <v>#NAME?</v>
      </c>
      <c r="H27" s="28"/>
      <c r="I27" s="31" t="s">
        <v>70</v>
      </c>
      <c r="J27" s="43" t="e">
        <f ca="1">XLSSQLVALUE("&amp;HRG_SUM  WHERE &amp;HRG_FILTCURR  &amp;HRG_CUTOFF " &amp; $C27)</f>
        <v>#NAME?</v>
      </c>
      <c r="K27" s="43"/>
      <c r="L27" s="38" t="s">
        <v>65</v>
      </c>
      <c r="M27" s="51" t="e">
        <f ca="1">XLSSQLVALUE("&amp;HRG_COUNT  WHERE &amp;HRG_FILTPREV  &amp;HRG_CUTOFF " &amp; $D27)</f>
        <v>#NAME?</v>
      </c>
      <c r="N27" s="21"/>
      <c r="O27" s="52" t="s">
        <v>70</v>
      </c>
      <c r="P27" s="53" t="e">
        <f ca="1">XLSSQLVALUE("&amp;HRG_SUM  WHERE &amp;HRG_FILTPREV  &amp;HRG_CUTOFF " &amp; $D27)</f>
        <v>#NAME?</v>
      </c>
    </row>
    <row r="28" spans="1:18" ht="15">
      <c r="A28" s="58"/>
      <c r="B28" s="58"/>
      <c r="C28" s="58"/>
      <c r="D28" s="58"/>
      <c r="E28" s="1" t="s">
        <v>45</v>
      </c>
      <c r="F28" s="29"/>
      <c r="G28" s="29"/>
      <c r="H28" s="29"/>
      <c r="I28" s="28" t="s">
        <v>70</v>
      </c>
      <c r="J28" s="44" t="e">
        <f ca="1">SUM(J26:J27)</f>
        <v>#NAME?</v>
      </c>
      <c r="K28" s="42"/>
      <c r="L28" s="38"/>
      <c r="M28" s="38"/>
      <c r="N28" s="38"/>
      <c r="O28" s="59" t="s">
        <v>70</v>
      </c>
      <c r="P28" s="54" t="e">
        <f ca="1">SUM(P26:P27)</f>
        <v>#NAME?</v>
      </c>
    </row>
    <row r="29" spans="1:18" ht="15">
      <c r="A29" s="55"/>
      <c r="B29" s="55"/>
      <c r="C29" s="55"/>
      <c r="D29" s="55"/>
      <c r="E29" s="1" t="s">
        <v>45</v>
      </c>
      <c r="F29" s="26"/>
      <c r="G29" s="26"/>
      <c r="H29" s="26"/>
      <c r="I29" s="26"/>
      <c r="J29" s="26"/>
      <c r="K29" s="26"/>
    </row>
    <row r="30" spans="1:18" ht="15">
      <c r="A30" s="56"/>
      <c r="B30" s="56"/>
      <c r="C30" s="57"/>
      <c r="D30" s="57"/>
      <c r="E30" s="1" t="s">
        <v>45</v>
      </c>
      <c r="F30" s="26"/>
    </row>
    <row r="31" spans="1:18" ht="14.25">
      <c r="A31" s="56"/>
      <c r="B31" s="56"/>
      <c r="C31" s="57"/>
      <c r="D31" s="57"/>
      <c r="E31" s="1" t="s">
        <v>45</v>
      </c>
      <c r="F31" s="27" t="str">
        <f>"NEW MEMBER (" &amp; TEXT($B$6,"yyyy") &amp; ")"</f>
        <v>NEW MEMBER (2012)</v>
      </c>
      <c r="G31" s="29"/>
      <c r="H31" s="29"/>
      <c r="I31" s="29"/>
      <c r="J31" s="29"/>
      <c r="K31" s="29"/>
    </row>
    <row r="32" spans="1:18" ht="15">
      <c r="A32" s="58"/>
      <c r="B32" s="58"/>
      <c r="C32" t="e">
        <f ca="1">" and (a.paymtamt BETWEEN 250 and 999.99) and ((SELECT COUNT(b.id) FROM hrg b WHERE (b.clientid = a.clientid) and (b.campaigndate &lt; #" &amp; XLSSQLDATE($B$6) &amp; " 23:59:59#)) = 0)"</f>
        <v>#NAME?</v>
      </c>
      <c r="D32" s="58"/>
      <c r="E32" s="1" t="s">
        <v>45</v>
      </c>
      <c r="F32" s="29" t="s">
        <v>66</v>
      </c>
      <c r="G32" s="37" t="e">
        <f ca="1">XLSSQLVALUE("&amp;HRG_COUNT  WHERE &amp;HRG_FILTNEXT  &amp;HRG_CUTOFF " &amp; $C32)</f>
        <v>#NAME?</v>
      </c>
      <c r="H32" s="28"/>
      <c r="I32" s="31" t="s">
        <v>70</v>
      </c>
      <c r="J32" s="43" t="e">
        <f ca="1">XLSSQLVALUE("&amp;HRG_SUM  WHERE &amp;HRG_FILTNEXT  &amp;HRG_CUTOFF " &amp; $C32)</f>
        <v>#NAME?</v>
      </c>
      <c r="K32" s="43"/>
    </row>
    <row r="33" spans="1:16" ht="15">
      <c r="A33" s="58"/>
      <c r="B33" s="58"/>
      <c r="C33" t="e">
        <f ca="1">" and (a.paymtamt &gt; 999.99) and ((SELECT COUNT(b.id) FROM hrg b WHERE (b.clientid = a.clientid) and (b.campaigndate &lt; #" &amp; XLSSQLDATE($B$6) &amp; " 23:59:59#)) = 0)"</f>
        <v>#NAME?</v>
      </c>
      <c r="D33" s="58"/>
      <c r="E33" s="1" t="s">
        <v>45</v>
      </c>
      <c r="F33" s="29" t="s">
        <v>65</v>
      </c>
      <c r="G33" s="37" t="e">
        <f ca="1">XLSSQLVALUE("&amp;HRG_COUNT  WHERE &amp;HRG_FILTNEXT  &amp;HRG_CUTOFF " &amp; $C33)</f>
        <v>#NAME?</v>
      </c>
      <c r="H33" s="28"/>
      <c r="I33" s="31" t="s">
        <v>70</v>
      </c>
      <c r="J33" s="43" t="e">
        <f ca="1">XLSSQLVALUE("&amp;HRG_SUM  WHERE &amp;HRG_FILTNEXT  &amp;HRG_CUTOFF " &amp; $C33)</f>
        <v>#NAME?</v>
      </c>
      <c r="K33" s="43"/>
    </row>
    <row r="34" spans="1:16" ht="15">
      <c r="A34" s="58"/>
      <c r="B34" s="58"/>
      <c r="C34" s="58"/>
      <c r="D34" s="58"/>
      <c r="E34" s="1" t="s">
        <v>45</v>
      </c>
      <c r="F34" s="29"/>
      <c r="G34" s="29"/>
      <c r="H34" s="29"/>
      <c r="I34" s="37" t="s">
        <v>70</v>
      </c>
      <c r="J34" s="44" t="e">
        <f ca="1">SUM(J32:J33)</f>
        <v>#NAME?</v>
      </c>
      <c r="K34" s="42"/>
    </row>
    <row r="35" spans="1:16" ht="15">
      <c r="A35" s="58"/>
      <c r="B35" s="58"/>
      <c r="C35" s="58"/>
      <c r="D35" s="58"/>
      <c r="E35" s="1" t="s">
        <v>45</v>
      </c>
      <c r="F35" s="26"/>
      <c r="G35" s="26"/>
      <c r="H35" s="26"/>
      <c r="I35" s="26"/>
      <c r="J35" s="26"/>
      <c r="K35" s="26"/>
    </row>
    <row r="36" spans="1:16" ht="16.5" thickBot="1">
      <c r="A36" s="58"/>
      <c r="B36" s="58"/>
      <c r="C36" s="58"/>
      <c r="D36" s="58"/>
      <c r="E36" s="1" t="s">
        <v>45</v>
      </c>
      <c r="F36" s="35" t="str">
        <f>"TOTAL INCOME AS OF " &amp; UPPER(TEXT($A$3,"MMM. D, YYYY"))</f>
        <v>TOTAL INCOME AS OF JUN. 30, 2012</v>
      </c>
      <c r="G36" s="26"/>
      <c r="H36" s="26"/>
      <c r="I36" s="28" t="s">
        <v>70</v>
      </c>
      <c r="J36" s="45" t="e">
        <f ca="1">J22+J28+J34</f>
        <v>#NAME?</v>
      </c>
      <c r="K36" s="48"/>
    </row>
    <row r="37" spans="1:16" ht="16.5" thickTop="1">
      <c r="E37" s="1" t="s">
        <v>45</v>
      </c>
      <c r="F37" s="26"/>
      <c r="G37" s="26"/>
      <c r="H37" s="26"/>
      <c r="I37" s="26"/>
      <c r="J37" s="39"/>
      <c r="K37" s="39"/>
    </row>
    <row r="38" spans="1:16" ht="18">
      <c r="E38" s="1" t="s">
        <v>45</v>
      </c>
      <c r="F38" s="35" t="str">
        <f>"TOTAL NET PROFIT (for campaign " &amp; TEXT($A$5,"YYYY") &amp; "-" &amp; TEXT($B$6,"YYYY") &amp; ") ----------------------------------- "</f>
        <v xml:space="preserve">TOTAL NET PROFIT (for campaign 2011-2012) ----------------------------------- </v>
      </c>
      <c r="G38" s="35"/>
      <c r="H38" s="35"/>
      <c r="I38" s="35"/>
      <c r="J38" s="39"/>
      <c r="K38" s="34" t="s">
        <v>70</v>
      </c>
      <c r="L38" s="63" t="e">
        <f ca="1">J36-J15</f>
        <v>#NAME?</v>
      </c>
      <c r="M38" s="63"/>
      <c r="N38" s="63"/>
      <c r="O38" s="63"/>
      <c r="P38" s="63"/>
    </row>
    <row r="39" spans="1:16" ht="15.75">
      <c r="E39" s="1" t="s">
        <v>45</v>
      </c>
      <c r="F39" s="35"/>
      <c r="G39" s="35"/>
      <c r="H39" s="35"/>
      <c r="I39" s="35"/>
      <c r="J39" s="39"/>
      <c r="K39" s="39"/>
      <c r="L39" s="30"/>
    </row>
    <row r="40" spans="1:16" ht="15.75">
      <c r="C40" t="e">
        <f ca="1">" and ((SELECT COUNT(b.id) FROM hrg b WHERE (b.clientid = a.clientid) and (b.campaigndate BETWEEN #" &amp; XLSSQLDATE($A$5) &amp; " 00:00:00# and #" &amp; XLSSQLDATE($A$5) &amp; " 23:59:59#)) = 0)"</f>
        <v>#NAME?</v>
      </c>
      <c r="E40" s="1" t="s">
        <v>45</v>
      </c>
      <c r="F40" s="29" t="s">
        <v>67</v>
      </c>
      <c r="G40" s="37" t="e">
        <f ca="1">XLSSQLVALUE("&amp;HRG_COUNT  WHERE &amp;HRG_FILTPREV  &amp;HRG_CUTOFF " &amp; $C40)</f>
        <v>#NAME?</v>
      </c>
      <c r="H40" s="25"/>
      <c r="I40" s="25"/>
      <c r="J40" s="26"/>
      <c r="K40" s="26"/>
    </row>
    <row r="41" spans="1:16" ht="15">
      <c r="E41" s="1" t="s">
        <v>45</v>
      </c>
      <c r="F41" s="29"/>
      <c r="G41" s="29"/>
      <c r="H41" s="26"/>
      <c r="I41" s="26"/>
      <c r="J41" s="26"/>
      <c r="K41" s="26"/>
    </row>
    <row r="42" spans="1:16" ht="15.75">
      <c r="C42" t="e">
        <f ca="1">" and ((SELECT COUNT(b.id) FROM hrg b WHERE (b.clientid = a.clientid) and (b.campaigndate &lt;= #" &amp; XLSSQLDATE($A$5) &amp; " 23:59:59#)) = 0)"</f>
        <v>#NAME?</v>
      </c>
      <c r="E42" s="1" t="s">
        <v>45</v>
      </c>
      <c r="F42" s="29" t="s">
        <v>68</v>
      </c>
      <c r="G42" s="37" t="e">
        <f ca="1">XLSSQLVALUE("&amp;HRG_COUNT  WHERE &amp;HRG_FILTNEXT  &amp;HRG_CUTOFF " &amp; $C42)</f>
        <v>#NAME?</v>
      </c>
      <c r="H42" s="25"/>
      <c r="I42" s="25"/>
      <c r="J42" s="26"/>
      <c r="K42" s="26"/>
    </row>
    <row r="43" spans="1:16" ht="15">
      <c r="E43" s="1" t="s">
        <v>45</v>
      </c>
      <c r="F43" s="29" t="str">
        <f>"  (for campaign " &amp; TEXT($B$6,"YYYY") &amp; ")"</f>
        <v xml:space="preserve">  (for campaign 2012)</v>
      </c>
      <c r="G43" s="29"/>
      <c r="H43" s="26"/>
      <c r="I43" s="26"/>
      <c r="J43" s="26"/>
      <c r="K43" s="26"/>
    </row>
    <row r="44" spans="1:16" ht="18" customHeight="1">
      <c r="E44" s="1" t="s">
        <v>45</v>
      </c>
    </row>
    <row r="45" spans="1:16" ht="18" customHeight="1">
      <c r="E45" s="1" t="s">
        <v>45</v>
      </c>
      <c r="F45" t="s">
        <v>39</v>
      </c>
    </row>
    <row r="46" spans="1:16" ht="18" customHeight="1">
      <c r="E46" s="1" t="s">
        <v>45</v>
      </c>
    </row>
    <row r="47" spans="1:16">
      <c r="E47" s="1" t="s">
        <v>45</v>
      </c>
    </row>
    <row r="48" spans="1:16">
      <c r="E48" s="1" t="s">
        <v>45</v>
      </c>
    </row>
    <row r="49" spans="1:6">
      <c r="A49" t="e">
        <f ca="1">XLRMACROCLEAR("HRG_COUNT,HRG_SUM,HRG_CUTOFF,HRG_FILTCURR,HRG_FILTPREV,HRG_FILTNEXT")</f>
        <v>#NAME?</v>
      </c>
      <c r="E49" s="1" t="s">
        <v>45</v>
      </c>
      <c r="F49" t="e">
        <f ca="1">EVALEXPR("ACC_User")</f>
        <v>#NAME?</v>
      </c>
    </row>
    <row r="53" spans="1:6" ht="12.75" customHeight="1"/>
    <row r="58" spans="1:6" ht="12" customHeight="1"/>
    <row r="61" spans="1:6" ht="12" customHeight="1"/>
    <row r="67" ht="12" customHeight="1"/>
    <row r="68" ht="12" customHeight="1"/>
    <row r="73" ht="11.25" customHeight="1"/>
    <row r="74" ht="12" customHeight="1"/>
    <row r="81" ht="15" customHeight="1"/>
    <row r="85" ht="10.5" customHeight="1"/>
    <row r="89" ht="20.25" customHeight="1"/>
  </sheetData>
  <mergeCells count="3">
    <mergeCell ref="F3:L3"/>
    <mergeCell ref="A1:E1"/>
    <mergeCell ref="L38:P38"/>
  </mergeCells>
  <phoneticPr fontId="0" type="noConversion"/>
  <pageMargins left="0.45" right="0.22" top="0.88" bottom="0.78" header="0.5" footer="0.47"/>
  <pageSetup orientation="portrait" horizontalDpi="120" verticalDpi="144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HRG Campaign 2016</vt:lpstr>
      <vt:lpstr>WMM Monthly Distribution</vt:lpstr>
      <vt:lpstr>HRG Campaign (New)</vt:lpstr>
      <vt:lpstr>'HRG Campaign (New)'!Print_Area</vt:lpstr>
      <vt:lpstr>'HRG Campaign 2016'!Print_Area</vt:lpstr>
      <vt:lpstr>'WMM Monthly Distribution'!Print_Area</vt:lpstr>
    </vt:vector>
  </TitlesOfParts>
  <Company>ROLEE Software Services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ROLEE</dc:creator>
  <cp:lastModifiedBy>Josh</cp:lastModifiedBy>
  <cp:lastPrinted>2009-11-24T04:38:23Z</cp:lastPrinted>
  <dcterms:created xsi:type="dcterms:W3CDTF">2009-07-08T23:53:50Z</dcterms:created>
  <dcterms:modified xsi:type="dcterms:W3CDTF">2025-09-03T08:55:47Z</dcterms:modified>
</cp:coreProperties>
</file>